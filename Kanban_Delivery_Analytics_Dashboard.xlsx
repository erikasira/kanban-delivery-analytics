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66925"/>
  <mc:AlternateContent xmlns:mc="http://schemas.openxmlformats.org/markup-compatibility/2006">
    <mc:Choice Requires="x15">
      <x15ac:absPath xmlns:x15ac="http://schemas.microsoft.com/office/spreadsheetml/2010/11/ac" url="https://d.docs.live.net/440d35ff72b20aad/Documents/"/>
    </mc:Choice>
  </mc:AlternateContent>
  <xr:revisionPtr revIDLastSave="197" documentId="8_{B41C6A66-EE1F-4764-B7C0-4B2C49F9674D}" xr6:coauthVersionLast="47" xr6:coauthVersionMax="47" xr10:uidLastSave="{658FBCC4-FBDF-4177-9DCE-9BF7F48157E6}"/>
  <bookViews>
    <workbookView xWindow="14295" yWindow="0" windowWidth="14610" windowHeight="15585" firstSheet="1" activeTab="1" xr2:uid="{00000000-000D-0000-FFFF-FFFF00000000}"/>
  </bookViews>
  <sheets>
    <sheet name="Raw_Ticket_Data" sheetId="1" r:id="rId1"/>
    <sheet name="Kanban_Metrics" sheetId="2" r:id="rId2"/>
    <sheet name="Delivery_Dashboard" sheetId="3" r:id="rId3"/>
    <sheet name="Insights &amp; Observations" sheetId="5" r:id="rId4"/>
    <sheet name="README" sheetId="6" r:id="rId5"/>
  </sheets>
  <definedNames>
    <definedName name="_xlnm._FilterDatabase" localSheetId="0" hidden="1">Raw_Ticket_Data!$A$1:$O$100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 i="3" l="1"/>
  <c r="D18" i="3"/>
  <c r="E18" i="3"/>
  <c r="F18" i="3"/>
  <c r="G14" i="3"/>
  <c r="F14" i="3"/>
  <c r="E14" i="3"/>
  <c r="D14" i="3"/>
  <c r="E8" i="3"/>
  <c r="D25" i="3" s="1"/>
  <c r="F8" i="3"/>
  <c r="E25" i="3" s="1"/>
  <c r="G8" i="3"/>
  <c r="F25" i="3" s="1"/>
  <c r="D9" i="3"/>
  <c r="C26" i="3" s="1"/>
  <c r="E9" i="3"/>
  <c r="D26" i="3" s="1"/>
  <c r="F9" i="3"/>
  <c r="E26" i="3" s="1"/>
  <c r="G9" i="3"/>
  <c r="F26" i="3" s="1"/>
  <c r="D10" i="3"/>
  <c r="C27" i="3" s="1"/>
  <c r="E10" i="3"/>
  <c r="D27" i="3" s="1"/>
  <c r="F10" i="3"/>
  <c r="E27" i="3" s="1"/>
  <c r="G10" i="3"/>
  <c r="F27" i="3" s="1"/>
  <c r="D11" i="3"/>
  <c r="C28" i="3" s="1"/>
  <c r="E11" i="3"/>
  <c r="D28" i="3" s="1"/>
  <c r="F11" i="3"/>
  <c r="E28" i="3" s="1"/>
  <c r="G11" i="3"/>
  <c r="F28" i="3" s="1"/>
  <c r="D8" i="3"/>
  <c r="C25" i="3" s="1"/>
  <c r="G5" i="3"/>
  <c r="F22" i="3" s="1"/>
  <c r="F5" i="3"/>
  <c r="E22" i="3" s="1"/>
  <c r="E5" i="3"/>
  <c r="D22" i="3" s="1"/>
  <c r="D5" i="3"/>
  <c r="G4" i="3"/>
  <c r="F21" i="3" s="1"/>
  <c r="F4" i="3"/>
  <c r="E21" i="3" s="1"/>
  <c r="E4" i="3"/>
  <c r="D21" i="3" s="1"/>
  <c r="D4" i="3"/>
  <c r="G3" i="3"/>
  <c r="F20" i="3" s="1"/>
  <c r="F3" i="3"/>
  <c r="E20" i="3" s="1"/>
  <c r="E3" i="3"/>
  <c r="D20" i="3" s="1"/>
  <c r="D3" i="3"/>
  <c r="D2" i="3"/>
  <c r="C19" i="3" s="1"/>
  <c r="G2" i="3"/>
  <c r="F2" i="3"/>
  <c r="E2" i="3"/>
  <c r="K7" i="2"/>
  <c r="K6" i="2"/>
  <c r="K5" i="2"/>
  <c r="K4" i="2"/>
  <c r="J7" i="2"/>
  <c r="J6" i="2"/>
  <c r="J5" i="2"/>
  <c r="J4" i="2"/>
  <c r="K3" i="2"/>
  <c r="J3" i="2"/>
  <c r="B7" i="2"/>
  <c r="B6" i="2"/>
  <c r="B5" i="2"/>
  <c r="B4" i="2"/>
  <c r="B3" i="2"/>
  <c r="L100"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O71" i="1"/>
  <c r="N3" i="1"/>
  <c r="O3" i="1"/>
  <c r="N4" i="1"/>
  <c r="O4" i="1"/>
  <c r="N5" i="1"/>
  <c r="O5" i="1"/>
  <c r="N6" i="1"/>
  <c r="O6" i="1"/>
  <c r="N7" i="1"/>
  <c r="O7" i="1"/>
  <c r="N8" i="1"/>
  <c r="O8" i="1"/>
  <c r="N9" i="1"/>
  <c r="O9" i="1"/>
  <c r="N10" i="1"/>
  <c r="O10" i="1"/>
  <c r="N11" i="1"/>
  <c r="O11" i="1"/>
  <c r="N12" i="1"/>
  <c r="O12" i="1"/>
  <c r="N13" i="1"/>
  <c r="O13" i="1"/>
  <c r="N14" i="1"/>
  <c r="O14" i="1"/>
  <c r="N15" i="1"/>
  <c r="O15" i="1"/>
  <c r="N16" i="1"/>
  <c r="O16" i="1"/>
  <c r="N17" i="1"/>
  <c r="O17" i="1"/>
  <c r="N18" i="1"/>
  <c r="O18" i="1"/>
  <c r="N19" i="1"/>
  <c r="O19" i="1"/>
  <c r="N20" i="1"/>
  <c r="O20" i="1"/>
  <c r="N21" i="1"/>
  <c r="O21" i="1"/>
  <c r="N22" i="1"/>
  <c r="O22" i="1"/>
  <c r="N23" i="1"/>
  <c r="O23" i="1"/>
  <c r="N24" i="1"/>
  <c r="O24" i="1"/>
  <c r="N25" i="1"/>
  <c r="O25" i="1"/>
  <c r="N26" i="1"/>
  <c r="O26" i="1"/>
  <c r="N27" i="1"/>
  <c r="O27" i="1"/>
  <c r="N28" i="1"/>
  <c r="O28" i="1"/>
  <c r="N29" i="1"/>
  <c r="O29" i="1"/>
  <c r="N30" i="1"/>
  <c r="O30" i="1"/>
  <c r="N31" i="1"/>
  <c r="O31" i="1"/>
  <c r="N32" i="1"/>
  <c r="O32" i="1"/>
  <c r="N33" i="1"/>
  <c r="O33" i="1"/>
  <c r="N34" i="1"/>
  <c r="O34" i="1"/>
  <c r="N35" i="1"/>
  <c r="O35" i="1"/>
  <c r="N36" i="1"/>
  <c r="O36" i="1"/>
  <c r="N37" i="1"/>
  <c r="O37" i="1"/>
  <c r="N38" i="1"/>
  <c r="O38" i="1"/>
  <c r="N39" i="1"/>
  <c r="O39" i="1"/>
  <c r="N40" i="1"/>
  <c r="O40" i="1"/>
  <c r="N41" i="1"/>
  <c r="O41" i="1"/>
  <c r="N42" i="1"/>
  <c r="O42" i="1"/>
  <c r="N43" i="1"/>
  <c r="O43" i="1"/>
  <c r="N44" i="1"/>
  <c r="O44" i="1"/>
  <c r="N45" i="1"/>
  <c r="O45" i="1"/>
  <c r="N46" i="1"/>
  <c r="O46" i="1"/>
  <c r="N47" i="1"/>
  <c r="O47" i="1"/>
  <c r="N48" i="1"/>
  <c r="O48" i="1"/>
  <c r="N49" i="1"/>
  <c r="O49" i="1"/>
  <c r="N50" i="1"/>
  <c r="O50" i="1"/>
  <c r="N51" i="1"/>
  <c r="O51" i="1"/>
  <c r="N52" i="1"/>
  <c r="O52" i="1"/>
  <c r="N53" i="1"/>
  <c r="O53" i="1"/>
  <c r="N54" i="1"/>
  <c r="O54" i="1"/>
  <c r="N55" i="1"/>
  <c r="O55" i="1"/>
  <c r="N56" i="1"/>
  <c r="O56" i="1"/>
  <c r="N57" i="1"/>
  <c r="O57" i="1"/>
  <c r="N58" i="1"/>
  <c r="O58" i="1"/>
  <c r="N59" i="1"/>
  <c r="O59" i="1"/>
  <c r="N60" i="1"/>
  <c r="O60" i="1"/>
  <c r="N61" i="1"/>
  <c r="O61" i="1"/>
  <c r="N62" i="1"/>
  <c r="O62" i="1"/>
  <c r="N63" i="1"/>
  <c r="O63" i="1"/>
  <c r="N64" i="1"/>
  <c r="O64" i="1"/>
  <c r="N65" i="1"/>
  <c r="O65" i="1"/>
  <c r="N66" i="1"/>
  <c r="O66" i="1"/>
  <c r="N67" i="1"/>
  <c r="O67" i="1"/>
  <c r="N68" i="1"/>
  <c r="O68" i="1"/>
  <c r="N69" i="1"/>
  <c r="O69" i="1"/>
  <c r="N70" i="1"/>
  <c r="O70" i="1"/>
  <c r="N71" i="1"/>
  <c r="N72" i="1"/>
  <c r="O72" i="1"/>
  <c r="N73" i="1"/>
  <c r="O73" i="1"/>
  <c r="N74" i="1"/>
  <c r="O74" i="1"/>
  <c r="N75" i="1"/>
  <c r="O75" i="1"/>
  <c r="N76" i="1"/>
  <c r="O76" i="1"/>
  <c r="N77" i="1"/>
  <c r="O77" i="1"/>
  <c r="N78" i="1"/>
  <c r="O78" i="1"/>
  <c r="N79" i="1"/>
  <c r="O79" i="1"/>
  <c r="N80" i="1"/>
  <c r="O80" i="1"/>
  <c r="N81" i="1"/>
  <c r="O81" i="1"/>
  <c r="N82" i="1"/>
  <c r="O82" i="1"/>
  <c r="N83" i="1"/>
  <c r="O83" i="1"/>
  <c r="N84" i="1"/>
  <c r="O84" i="1"/>
  <c r="N85" i="1"/>
  <c r="O85" i="1"/>
  <c r="N86" i="1"/>
  <c r="O86" i="1"/>
  <c r="N87" i="1"/>
  <c r="O87" i="1"/>
  <c r="N88" i="1"/>
  <c r="O88" i="1"/>
  <c r="N89" i="1"/>
  <c r="O89" i="1"/>
  <c r="N90" i="1"/>
  <c r="O90" i="1"/>
  <c r="N91" i="1"/>
  <c r="O91" i="1"/>
  <c r="N92" i="1"/>
  <c r="O92" i="1"/>
  <c r="N93" i="1"/>
  <c r="O93" i="1"/>
  <c r="N94" i="1"/>
  <c r="O94" i="1"/>
  <c r="N95" i="1"/>
  <c r="O95" i="1"/>
  <c r="N96" i="1"/>
  <c r="O96" i="1"/>
  <c r="N97" i="1"/>
  <c r="O97" i="1"/>
  <c r="N98" i="1"/>
  <c r="O98" i="1"/>
  <c r="N99" i="1"/>
  <c r="O99" i="1"/>
  <c r="N100" i="1"/>
  <c r="O100" i="1"/>
  <c r="O2" i="1"/>
  <c r="N2" i="1"/>
  <c r="C14" i="3" l="1"/>
  <c r="G32" i="3"/>
  <c r="G33" i="3"/>
  <c r="G34" i="3"/>
  <c r="G35" i="3"/>
  <c r="G36" i="3"/>
  <c r="G37" i="3"/>
  <c r="I5" i="2"/>
  <c r="I3" i="2"/>
  <c r="I4" i="2"/>
  <c r="I6" i="2"/>
  <c r="I7" i="2"/>
  <c r="B13" i="2"/>
  <c r="B12" i="2"/>
  <c r="B11" i="2"/>
  <c r="B10" i="2"/>
  <c r="E7" i="2"/>
  <c r="C37" i="3" s="1"/>
  <c r="E6" i="2"/>
  <c r="C36" i="3" s="1"/>
  <c r="E5" i="2"/>
  <c r="C35" i="3" s="1"/>
  <c r="E4" i="2"/>
  <c r="C34" i="3" s="1"/>
  <c r="E3" i="2"/>
  <c r="C33" i="3" s="1"/>
  <c r="E6" i="3"/>
  <c r="D19" i="3"/>
  <c r="F6" i="3"/>
  <c r="E19" i="3"/>
  <c r="G6" i="3"/>
  <c r="F19" i="3"/>
  <c r="C3" i="3"/>
  <c r="C20" i="3"/>
  <c r="C4" i="3"/>
  <c r="C21" i="3"/>
  <c r="C5" i="3"/>
  <c r="C22" i="3"/>
  <c r="D6" i="3"/>
  <c r="C2" i="3"/>
  <c r="D12" i="3"/>
  <c r="C8" i="3"/>
  <c r="C11" i="3"/>
  <c r="C10" i="3"/>
  <c r="C9" i="3"/>
  <c r="G12" i="3"/>
  <c r="F12" i="3"/>
  <c r="E12" i="3"/>
  <c r="E2" i="2"/>
  <c r="C32" i="3" s="1"/>
  <c r="B2" i="2" l="1"/>
  <c r="C6" i="3"/>
  <c r="C12" i="3"/>
</calcChain>
</file>

<file path=xl/sharedStrings.xml><?xml version="1.0" encoding="utf-8"?>
<sst xmlns="http://schemas.openxmlformats.org/spreadsheetml/2006/main" count="943" uniqueCount="309">
  <si>
    <t>Request Recieved</t>
  </si>
  <si>
    <t>Commitment</t>
  </si>
  <si>
    <t>Assignee</t>
  </si>
  <si>
    <t>Task Type</t>
  </si>
  <si>
    <t>Priority</t>
  </si>
  <si>
    <t>Ticket #</t>
  </si>
  <si>
    <t>Summary</t>
  </si>
  <si>
    <t>Status</t>
  </si>
  <si>
    <t>Start Date</t>
  </si>
  <si>
    <t>ETA</t>
  </si>
  <si>
    <t>Closed Date</t>
  </si>
  <si>
    <t>Sprint</t>
  </si>
  <si>
    <t>Notes</t>
  </si>
  <si>
    <t>Cycle Time
(Days)</t>
  </si>
  <si>
    <t>Forecast Accuracy (ETA)</t>
  </si>
  <si>
    <t>Before</t>
  </si>
  <si>
    <t>Committed</t>
  </si>
  <si>
    <t>Dev 3</t>
  </si>
  <si>
    <t>Support Task</t>
  </si>
  <si>
    <t>P2 (High)</t>
  </si>
  <si>
    <t>EXP-1023</t>
  </si>
  <si>
    <t>Fix deployment failure in staging pipeline</t>
  </si>
  <si>
    <t>New</t>
  </si>
  <si>
    <t xml:space="preserve"> </t>
  </si>
  <si>
    <t>Dev 5</t>
  </si>
  <si>
    <t>Task</t>
  </si>
  <si>
    <t>P3 (Med)</t>
  </si>
  <si>
    <t>EXP-1047</t>
  </si>
  <si>
    <t>Update Terraform module for S3 encryption</t>
  </si>
  <si>
    <t>Closed</t>
  </si>
  <si>
    <t>Dev 1</t>
  </si>
  <si>
    <t>P4 (Low)</t>
  </si>
  <si>
    <t>EXP-1091</t>
  </si>
  <si>
    <t>Investigate intermittent API timeout errors</t>
  </si>
  <si>
    <t>Dev 2</t>
  </si>
  <si>
    <t>P1 (Critical)</t>
  </si>
  <si>
    <t>EXP-1112</t>
  </si>
  <si>
    <t>Rotate expired service account credentials</t>
  </si>
  <si>
    <t>Dev 4</t>
  </si>
  <si>
    <t>EXP-1138</t>
  </si>
  <si>
    <t>Enable logging for failed Lambda executions</t>
  </si>
  <si>
    <t>EXP-1184</t>
  </si>
  <si>
    <t>Clean up unused feature flags</t>
  </si>
  <si>
    <t>EXP-1219</t>
  </si>
  <si>
    <t>Update CI runner to latest image version</t>
  </si>
  <si>
    <t>EXP-1245</t>
  </si>
  <si>
    <t>Fix broken link in internal runbook</t>
  </si>
  <si>
    <t>EXP-1277</t>
  </si>
  <si>
    <t>Investigate high memory usage on prod node</t>
  </si>
  <si>
    <t>EXP-1296</t>
  </si>
  <si>
    <t>Add alert for failed nightly batch job</t>
  </si>
  <si>
    <t>EXP-1321</t>
  </si>
  <si>
    <t>Upgrade Kubernetes cluster minor version</t>
  </si>
  <si>
    <t>EXP-1350</t>
  </si>
  <si>
    <t>Resolve permission issue with secrets manager</t>
  </si>
  <si>
    <t>On Hold</t>
  </si>
  <si>
    <t>Pending external dependency</t>
  </si>
  <si>
    <t>Uncommitted</t>
  </si>
  <si>
    <t>EXP-1389</t>
  </si>
  <si>
    <t>Document rollback steps for payment service</t>
  </si>
  <si>
    <t>EXP-1413</t>
  </si>
  <si>
    <t>Fix flaky integration test in CI</t>
  </si>
  <si>
    <t>EXP-1437</t>
  </si>
  <si>
    <t>Investigate delayed message processing in queue</t>
  </si>
  <si>
    <t>EXP-1462</t>
  </si>
  <si>
    <t>Add retry logic to webhook handler</t>
  </si>
  <si>
    <t>EXP-1488</t>
  </si>
  <si>
    <t>Update autoscaling thresholds for API service</t>
  </si>
  <si>
    <t>EXP-1514</t>
  </si>
  <si>
    <t>Fix incorrect environment variable in prod</t>
  </si>
  <si>
    <t>EXP-1541</t>
  </si>
  <si>
    <t>Review and update deployment approval process</t>
  </si>
  <si>
    <t>EXP-1569</t>
  </si>
  <si>
    <t>Investigate missing logs from worker service</t>
  </si>
  <si>
    <t>EXP-1593</t>
  </si>
  <si>
    <t>Update monitoring dashboard for latency metrics</t>
  </si>
  <si>
    <t>EXP-1620</t>
  </si>
  <si>
    <t>Fix failed database migration in staging</t>
  </si>
  <si>
    <t>EXP-1648</t>
  </si>
  <si>
    <t>Add health check endpoint to auth service</t>
  </si>
  <si>
    <t>EXP-1675</t>
  </si>
  <si>
    <t>Clean up deprecated IAM roles</t>
  </si>
  <si>
    <t>EXP-1699</t>
  </si>
  <si>
    <t>Investigate spike in 500 errors after release</t>
  </si>
  <si>
    <t>WIP</t>
  </si>
  <si>
    <t>EXP-1724</t>
  </si>
  <si>
    <t>Update Helm chart values for prod</t>
  </si>
  <si>
    <t>EXP-1746</t>
  </si>
  <si>
    <t>Fix cache invalidation issue</t>
  </si>
  <si>
    <t>EXP-1778</t>
  </si>
  <si>
    <t>Document on-call escalation procedure</t>
  </si>
  <si>
    <t>EXP-1801</t>
  </si>
  <si>
    <t>Investigate slow startup time for service</t>
  </si>
  <si>
    <t>After</t>
  </si>
  <si>
    <t>EXP-1827</t>
  </si>
  <si>
    <t>Add alert for disk space threshold</t>
  </si>
  <si>
    <t>EXP-1852</t>
  </si>
  <si>
    <t>Fix broken dependency in build pipeline</t>
  </si>
  <si>
    <t>EXP-1876</t>
  </si>
  <si>
    <t>Update README for deployment repo</t>
  </si>
  <si>
    <t>EXP-1904</t>
  </si>
  <si>
    <t>Investigate failed scheduled job</t>
  </si>
  <si>
    <t>EXP-1931</t>
  </si>
  <si>
    <t>Fix typo in environment configuration</t>
  </si>
  <si>
    <t>EXP-1959</t>
  </si>
  <si>
    <t>Update secret rotation schedule</t>
  </si>
  <si>
    <t>EXP-1983</t>
  </si>
  <si>
    <t>Investigate dropped events in analytics pipeline</t>
  </si>
  <si>
    <t>EXP-2010</t>
  </si>
  <si>
    <t>Add timeout configuration to external API calls</t>
  </si>
  <si>
    <t>EXP-2036</t>
  </si>
  <si>
    <t>Fix misconfigured load balancer rule</t>
  </si>
  <si>
    <t>EXP-2064</t>
  </si>
  <si>
    <t>Update incident postmortem template</t>
  </si>
  <si>
    <t>EXP-2089</t>
  </si>
  <si>
    <t>Investigate inconsistent cache behavior</t>
  </si>
  <si>
    <t>EXP-2117</t>
  </si>
  <si>
    <t>Fix access issue for new service account</t>
  </si>
  <si>
    <t>EXP-2142</t>
  </si>
  <si>
    <t>Add monitoring for CPU throttling</t>
  </si>
  <si>
    <t>EXP-2168</t>
  </si>
  <si>
    <t>Update dependency versions for security patch</t>
  </si>
  <si>
    <t>EXP-2194</t>
  </si>
  <si>
    <t>Fix failed canary deployment</t>
  </si>
  <si>
    <t>EXP-2221</t>
  </si>
  <si>
    <t>Document recovery steps for Redis outage</t>
  </si>
  <si>
    <t>EXP-2249</t>
  </si>
  <si>
    <t>Investigate alert noise from monitoring tool</t>
  </si>
  <si>
    <t>EXP-2273</t>
  </si>
  <si>
    <t>Update tagging standards for cloud resources</t>
  </si>
  <si>
    <t>EXP-2298</t>
  </si>
  <si>
    <t>Fix missing environment variable in CI</t>
  </si>
  <si>
    <t>EXP-2315</t>
  </si>
  <si>
    <t>Investigate failed deployment rollback</t>
  </si>
  <si>
    <t>EXP-2342</t>
  </si>
  <si>
    <t>Update build cache configuration</t>
  </si>
  <si>
    <t>EXP-2368</t>
  </si>
  <si>
    <t>Fix incorrect timeout setting in ingress</t>
  </si>
  <si>
    <t>EXP-2391</t>
  </si>
  <si>
    <t>Add alert for message queue backlog</t>
  </si>
  <si>
    <t>EXP-2417</t>
  </si>
  <si>
    <t>Update service documentation for new endpoint</t>
  </si>
  <si>
    <t>EXP-2440</t>
  </si>
  <si>
    <t>Fix flaky smoke test in staging</t>
  </si>
  <si>
    <t>EXP-2469</t>
  </si>
  <si>
    <t>Investigate pod restart loop in prod</t>
  </si>
  <si>
    <t>EXP-2493</t>
  </si>
  <si>
    <t>Clean up unused environment variables</t>
  </si>
  <si>
    <t>EXP-2521</t>
  </si>
  <si>
    <t>Update rate limiting configuration</t>
  </si>
  <si>
    <t>EXP-2548</t>
  </si>
  <si>
    <t>Fix permissions issue with artifact registry</t>
  </si>
  <si>
    <t>EXP-2576</t>
  </si>
  <si>
    <t>Investigate missing metrics in monitoring tool</t>
  </si>
  <si>
    <t>EXP-2602</t>
  </si>
  <si>
    <t>Add logging for authentication failures</t>
  </si>
  <si>
    <t>EXP-2637</t>
  </si>
  <si>
    <t>Update CI pipeline to support parallel jobs</t>
  </si>
  <si>
    <t>EXP-2664</t>
  </si>
  <si>
    <t>Fix broken cron schedule</t>
  </si>
  <si>
    <t>EXP-2689</t>
  </si>
  <si>
    <t>Investigate slow database queries</t>
  </si>
  <si>
    <t>EXP-2715</t>
  </si>
  <si>
    <t>Update autoscaling policy for worker service</t>
  </si>
  <si>
    <t>EXP-2741</t>
  </si>
  <si>
    <t>Fix failed secret injection in deployment</t>
  </si>
  <si>
    <t>EXP-2768</t>
  </si>
  <si>
    <t>Document disaster recovery test results</t>
  </si>
  <si>
    <t>EXP-2794</t>
  </si>
  <si>
    <t>Investigate inconsistent feature flag behavior</t>
  </si>
  <si>
    <t>EXP-2820</t>
  </si>
  <si>
    <t>Add alert for error rate threshold</t>
  </si>
  <si>
    <t>EXP-2846</t>
  </si>
  <si>
    <t>Update deployment script for new repo structure</t>
  </si>
  <si>
    <t>EXP-2873</t>
  </si>
  <si>
    <t>Fix service startup failure in staging</t>
  </si>
  <si>
    <t>EXP-2899</t>
  </si>
  <si>
    <t>Clean up unused Docker images</t>
  </si>
  <si>
    <t>EXP-2924</t>
  </si>
  <si>
    <t>Investigate network latency between services</t>
  </si>
  <si>
    <t>EXP-2951</t>
  </si>
  <si>
    <t>Update Helm dependency versions</t>
  </si>
  <si>
    <t>EXP-2978</t>
  </si>
  <si>
    <t>Fix incorrect health check path</t>
  </si>
  <si>
    <t>EXP-3004</t>
  </si>
  <si>
    <t>Add monitoring for memory saturation</t>
  </si>
  <si>
    <t>EXP-3030</t>
  </si>
  <si>
    <t>Update runbook for incident response</t>
  </si>
  <si>
    <t>EXP-3057</t>
  </si>
  <si>
    <t>Investigate authentication token expiration issue</t>
  </si>
  <si>
    <t>EXP-3083</t>
  </si>
  <si>
    <t>Fix broken alert notification channel</t>
  </si>
  <si>
    <t>EXP-3110</t>
  </si>
  <si>
    <t>Update infrastructure diagram</t>
  </si>
  <si>
    <t>EXP-3136</t>
  </si>
  <si>
    <t>Investigate delayed log ingestion</t>
  </si>
  <si>
    <t>EXP-3162</t>
  </si>
  <si>
    <t>Add retry logic to batch processing job</t>
  </si>
  <si>
    <t>EXP-3189</t>
  </si>
  <si>
    <t>Fix misconfigured firewall rule</t>
  </si>
  <si>
    <t>EXP-3214</t>
  </si>
  <si>
    <t>Update dependency versions for vulnerability fix</t>
  </si>
  <si>
    <t>Cancelled</t>
  </si>
  <si>
    <t>no longer needed: duplicate</t>
  </si>
  <si>
    <t>EXP-3240</t>
  </si>
  <si>
    <t>Investigate service crash during peak traffic</t>
  </si>
  <si>
    <t>EXP-3267</t>
  </si>
  <si>
    <t>Fix incorrect environment mapping in CI</t>
  </si>
  <si>
    <t>EXP-3293</t>
  </si>
  <si>
    <t>Add dashboard for deployment frequency</t>
  </si>
  <si>
    <t>EXP-3321</t>
  </si>
  <si>
    <t>Update on-call schedule documentation</t>
  </si>
  <si>
    <t>EXP-3348</t>
  </si>
  <si>
    <t>Investigate duplicate events in data pipeline</t>
  </si>
  <si>
    <t>EXP-3374</t>
  </si>
  <si>
    <t>Fix broken deployment approval step</t>
  </si>
  <si>
    <t>EXP-3401</t>
  </si>
  <si>
    <t>Update tagging for cost allocation</t>
  </si>
  <si>
    <t>EXP-3427</t>
  </si>
  <si>
    <t>Investigate failed health checks after deploy</t>
  </si>
  <si>
    <t>blocked: waiting on service team</t>
  </si>
  <si>
    <t>EXP-3452</t>
  </si>
  <si>
    <t>Add alert for API latency spike</t>
  </si>
  <si>
    <t>EXP-3479</t>
  </si>
  <si>
    <t>Fix incorrect container resource limits</t>
  </si>
  <si>
    <t>EXP-3505</t>
  </si>
  <si>
    <t>Update secrets manager access policy</t>
  </si>
  <si>
    <t>EXP-3532</t>
  </si>
  <si>
    <t>Investigate unexpected pod evictions</t>
  </si>
  <si>
    <t>EXP-3558</t>
  </si>
  <si>
    <t>Fix build failure due to version mismatch</t>
  </si>
  <si>
    <t>EXP-3584</t>
  </si>
  <si>
    <t>Investigate failed readiness probe after deployment</t>
  </si>
  <si>
    <t>EXP-3611</t>
  </si>
  <si>
    <t>Update CI pipeline to handle dependency caching</t>
  </si>
  <si>
    <t>EXP-1111</t>
  </si>
  <si>
    <t>Hire Erika since she is the best Scrum Master turned Data Anaylst</t>
  </si>
  <si>
    <t>Entire Team Metrics</t>
  </si>
  <si>
    <t>Throughput
(Tasks closed within time Period)</t>
  </si>
  <si>
    <t>By Team Member</t>
  </si>
  <si>
    <t>Average Cycle Time (Days)</t>
  </si>
  <si>
    <t>Sprint 1 (Oct. 22 - Nov. 4)</t>
  </si>
  <si>
    <t>Developer</t>
  </si>
  <si>
    <t>Avg. Cycle Time (DAYS)</t>
  </si>
  <si>
    <t>Current WIP</t>
  </si>
  <si>
    <t>Closed PI Tickets</t>
  </si>
  <si>
    <t>Sprint 2 (Nov. 5 - Nov. 18)</t>
  </si>
  <si>
    <t>Current Closed</t>
  </si>
  <si>
    <t>Sprint 3 (Nov. 19 - Dec. 2)</t>
  </si>
  <si>
    <t>Current On Hold</t>
  </si>
  <si>
    <t>Sprint 4 (Dec. 3 - Dec. 16)</t>
  </si>
  <si>
    <t>Current Open/New</t>
  </si>
  <si>
    <t>Sprint 5 (Dec. 17 - Dec. 30)</t>
  </si>
  <si>
    <t>Sprint 6 (Dec. 31 - Jan 20)</t>
  </si>
  <si>
    <t>ETA Forecast Accuracy</t>
  </si>
  <si>
    <t>On time</t>
  </si>
  <si>
    <t>Early</t>
  </si>
  <si>
    <t>Late</t>
  </si>
  <si>
    <t>No ETA Given</t>
  </si>
  <si>
    <t>Issue Details</t>
  </si>
  <si>
    <t>Total</t>
  </si>
  <si>
    <t>Open</t>
  </si>
  <si>
    <t>Total Number of Tasks Planned in PI-4</t>
  </si>
  <si>
    <t>P1</t>
  </si>
  <si>
    <t>P2</t>
  </si>
  <si>
    <t>P3</t>
  </si>
  <si>
    <t>P4</t>
  </si>
  <si>
    <r>
      <rPr>
        <sz val="11"/>
        <color rgb="FF000000"/>
        <rFont val="Calibri"/>
        <scheme val="minor"/>
      </rPr>
      <t xml:space="preserve">Number of Issues created </t>
    </r>
    <r>
      <rPr>
        <b/>
        <sz val="11"/>
        <color rgb="FF000000"/>
        <rFont val="Calibri"/>
        <scheme val="minor"/>
      </rPr>
      <t>AFTER</t>
    </r>
    <r>
      <rPr>
        <sz val="11"/>
        <color rgb="FF000000"/>
        <rFont val="Calibri"/>
        <scheme val="minor"/>
      </rPr>
      <t xml:space="preserve"> planning</t>
    </r>
  </si>
  <si>
    <t>Total Number of Support Tasks</t>
  </si>
  <si>
    <t>Planned Tasks (bar chart)</t>
  </si>
  <si>
    <t>Unplanned Tasks (bar chart)</t>
  </si>
  <si>
    <t>Sprint 1</t>
  </si>
  <si>
    <t>Sprint 2</t>
  </si>
  <si>
    <t>Sprint 3</t>
  </si>
  <si>
    <t>Sprint 4</t>
  </si>
  <si>
    <t>Sprint 5</t>
  </si>
  <si>
    <t>Sprint 6</t>
  </si>
  <si>
    <t>Throughput By Sprint</t>
  </si>
  <si>
    <t>Cycle Time Trend Over Time</t>
  </si>
  <si>
    <t>Avg Cycle Time</t>
  </si>
  <si>
    <t>Kanban Delivery Analytics Dashboard</t>
  </si>
  <si>
    <t>Excel | Data Modeling | Flow Metrics</t>
  </si>
  <si>
    <t>Insights below are based on sample Kanban ticket data and are intended to demonstrate analytical interpretation rather than reflect a real team’s performance.</t>
  </si>
  <si>
    <t xml:space="preserve">Insight </t>
  </si>
  <si>
    <t>Analysis</t>
  </si>
  <si>
    <t>Cycle Time Trends</t>
  </si>
  <si>
    <t>Status Distribution</t>
  </si>
  <si>
    <t>Planned vs. Unplanned Work</t>
  </si>
  <si>
    <t>Priority Mix</t>
  </si>
  <si>
    <t>Based on the cycle time trend, cycle time remained stable across most sprints, with the lowest average cycle time observed in Sprint 1. Reviewing ticket mix and WIP levels during Sprint 1 may help identify practices that contributed to faster delivery and could be replicated in future sprints.</t>
  </si>
  <si>
    <t>Closed and In Progress tickets make up the majority of work, indicating steady throughput across the PI. A small number of On Hold items suggests limited external blockers. However, periodic review of these tickets may help prevent long-running stagnation.</t>
  </si>
  <si>
    <t>The Planned vs Unplanned bar chart shows that unplanned work represents a consistent portion of total delivery, reducing planned capacity each sprint. This pattern highlights the importance of reserving buffer capacity during PI planning to maintain delivery predictability.</t>
  </si>
  <si>
    <t>Most completed tickets fall within Medium and High priority levels, with few Critical items observed. This suggests effective prioritization and minimal reactive work, allowing the team to focus on planned delivery rather than urgent interruptions.</t>
  </si>
  <si>
    <t>Project Overview:</t>
  </si>
  <si>
    <t>Business Problem:</t>
  </si>
  <si>
    <t>Kanban teams often struggle to maintain visibility into work in progress, delivery predictability, and flow efficiency. Leadership typically requires clear, concise metrics to understand progress without disrupting team workflows.</t>
  </si>
  <si>
    <t>Project Objectives:</t>
  </si>
  <si>
    <t>&gt; Track work status and flow using Kanban metrics
&gt; Analyze cycle time trends across sprints
&gt; Compare planned vs unplanned work
&gt; Provide clear, executive-friendly visualizations</t>
  </si>
  <si>
    <t>Data Description:</t>
  </si>
  <si>
    <t>Metrics &amp; Calculations</t>
  </si>
  <si>
    <t>Key metrics were calculated using Excel formulas and include cycle time, throughput, forecast accuracy, and planned vs. unplanned work distribution.</t>
  </si>
  <si>
    <t>Dashboard &amp; Insights</t>
  </si>
  <si>
    <t>Assumptions &amp; Limitations</t>
  </si>
  <si>
    <t>Tools Used</t>
  </si>
  <si>
    <t>&gt; Microsoft Excel
&gt; Tables and Charts
&gt; Excel Formulas (AVERAGEIFS, COUNTIFS, etc.)</t>
  </si>
  <si>
    <t>This dashboard is inspired by a real-world Kanban reporting solution I designed while supporting a DevOps team. For this project, I recreated the structure using synthetic data to focus on metric design, data modeling, and visualization best practices.
The dashboard highlights workflow trends, delivery performance, and operational insights intended to support continuous improvement and stakeholder communication.</t>
  </si>
  <si>
    <r>
      <t xml:space="preserve">The dataset consists of 99 synthetic Kanban tickets modeled after a DevOps team workflow. Each ticket includes key attributes used to analyze flow and delivery performance. 
</t>
    </r>
    <r>
      <rPr>
        <b/>
        <sz val="14"/>
        <color theme="1"/>
        <rFont val="Calibri"/>
        <family val="2"/>
        <scheme val="minor"/>
      </rPr>
      <t xml:space="preserve">
Key fields include:</t>
    </r>
    <r>
      <rPr>
        <sz val="14"/>
        <color theme="1"/>
        <rFont val="Calibri"/>
        <family val="2"/>
        <scheme val="minor"/>
      </rPr>
      <t xml:space="preserve">
&gt; Status (New, WIP, Closed, On Hold, Cancelled)
&gt; Priority (P1-P4)
&gt; Sprint (Sprint 1-6)
&gt; Start Date, ETA, Close Date
&gt; Calculated Cycle Time</t>
    </r>
  </si>
  <si>
    <r>
      <t xml:space="preserve">The dashboard visualizes delivery performance through charts and summary metrics. Key insights are documented in a separate </t>
    </r>
    <r>
      <rPr>
        <i/>
        <sz val="14"/>
        <color theme="1"/>
        <rFont val="Calibri"/>
        <family val="2"/>
        <scheme val="minor"/>
      </rPr>
      <t>Insights &amp; Observations</t>
    </r>
    <r>
      <rPr>
        <sz val="14"/>
        <color theme="1"/>
        <rFont val="Calibri"/>
        <family val="2"/>
        <scheme val="minor"/>
      </rPr>
      <t xml:space="preserve"> tab to support data driven decision making. </t>
    </r>
  </si>
  <si>
    <t>&gt; Data is synthetic and for demonstration purposes 
&gt; Sprint length is two weeks, except for Sprint 6, which is 3 weeks
&gt; Metrics are intended to illustrate trends rather than evaluate team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</si>
</sst>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1"/>
      <name val="Calibri"/>
      <family val="2"/>
      <scheme val="minor"/>
    </font>
    <font>
      <sz val="11"/>
      <color rgb="FF000000"/>
      <name val="Calibri"/>
      <scheme val="minor"/>
    </font>
    <font>
      <b/>
      <sz val="11"/>
      <color rgb="FF000000"/>
      <name val="Calibri"/>
      <scheme val="minor"/>
    </font>
    <font>
      <sz val="8"/>
      <name val="Calibri"/>
      <family val="2"/>
      <scheme val="minor"/>
    </font>
    <font>
      <i/>
      <sz val="11"/>
      <color theme="1"/>
      <name val="Calibri"/>
      <family val="2"/>
      <scheme val="minor"/>
    </font>
    <font>
      <b/>
      <sz val="11"/>
      <name val="Calibri"/>
      <family val="2"/>
      <scheme val="minor"/>
    </font>
    <font>
      <b/>
      <i/>
      <sz val="11"/>
      <color theme="1"/>
      <name val="Calibri"/>
      <family val="2"/>
      <scheme val="minor"/>
    </font>
    <font>
      <b/>
      <sz val="28"/>
      <color theme="1"/>
      <name val="Calibri"/>
      <family val="2"/>
      <scheme val="minor"/>
    </font>
    <font>
      <i/>
      <sz val="18"/>
      <color theme="1"/>
      <name val="Calibri"/>
      <family val="2"/>
      <scheme val="minor"/>
    </font>
    <font>
      <b/>
      <sz val="16"/>
      <color theme="1"/>
      <name val="Calibri"/>
      <family val="2"/>
      <scheme val="minor"/>
    </font>
    <font>
      <sz val="14"/>
      <color theme="1"/>
      <name val="Calibri"/>
      <family val="2"/>
      <scheme val="minor"/>
    </font>
    <font>
      <b/>
      <sz val="14"/>
      <color theme="1"/>
      <name val="Calibri"/>
      <family val="2"/>
      <scheme val="minor"/>
    </font>
    <font>
      <i/>
      <sz val="14"/>
      <color theme="1"/>
      <name val="Calibri"/>
      <family val="2"/>
      <scheme val="minor"/>
    </font>
  </fonts>
  <fills count="11">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79998168889431442"/>
        <bgColor indexed="64"/>
      </patternFill>
    </fill>
  </fills>
  <borders count="25">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diagonal/>
    </border>
    <border>
      <left style="thin">
        <color indexed="64"/>
      </left>
      <right style="thin">
        <color indexed="64"/>
      </right>
      <top/>
      <bottom/>
      <diagonal/>
    </border>
  </borders>
  <cellStyleXfs count="1">
    <xf numFmtId="0" fontId="0" fillId="0" borderId="0"/>
  </cellStyleXfs>
  <cellXfs count="67">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14" fontId="0" fillId="0" borderId="0" xfId="0" applyNumberFormat="1"/>
    <xf numFmtId="0" fontId="1" fillId="5" borderId="1" xfId="0" applyFont="1" applyFill="1" applyBorder="1"/>
    <xf numFmtId="0" fontId="1" fillId="6" borderId="1" xfId="0" applyFont="1" applyFill="1" applyBorder="1"/>
    <xf numFmtId="0" fontId="1" fillId="6" borderId="3" xfId="0" applyFont="1" applyFill="1" applyBorder="1"/>
    <xf numFmtId="0" fontId="0" fillId="0" borderId="5" xfId="0" applyBorder="1"/>
    <xf numFmtId="0" fontId="0" fillId="5" borderId="6" xfId="0" applyFill="1" applyBorder="1"/>
    <xf numFmtId="0" fontId="1" fillId="7" borderId="2" xfId="0" applyFont="1" applyFill="1" applyBorder="1" applyAlignment="1">
      <alignment wrapText="1"/>
    </xf>
    <xf numFmtId="0" fontId="1" fillId="6" borderId="3" xfId="0" applyFont="1" applyFill="1" applyBorder="1" applyAlignment="1">
      <alignment wrapText="1"/>
    </xf>
    <xf numFmtId="0" fontId="1" fillId="6" borderId="4" xfId="0" applyFont="1" applyFill="1" applyBorder="1" applyAlignment="1">
      <alignment wrapText="1"/>
    </xf>
    <xf numFmtId="1" fontId="0" fillId="0" borderId="1" xfId="0" applyNumberFormat="1" applyBorder="1"/>
    <xf numFmtId="0" fontId="1" fillId="8" borderId="1" xfId="0" applyFont="1" applyFill="1" applyBorder="1"/>
    <xf numFmtId="0" fontId="0" fillId="0" borderId="7" xfId="0" applyBorder="1"/>
    <xf numFmtId="0" fontId="6" fillId="2" borderId="6" xfId="0" applyFont="1" applyFill="1" applyBorder="1"/>
    <xf numFmtId="0" fontId="6" fillId="3" borderId="6" xfId="0" applyFont="1" applyFill="1" applyBorder="1"/>
    <xf numFmtId="0" fontId="6" fillId="4" borderId="6" xfId="0" applyFont="1" applyFill="1" applyBorder="1"/>
    <xf numFmtId="0" fontId="6" fillId="2" borderId="6" xfId="0" applyFont="1" applyFill="1" applyBorder="1" applyAlignment="1">
      <alignment wrapText="1"/>
    </xf>
    <xf numFmtId="0" fontId="8" fillId="0" borderId="18" xfId="0" applyFont="1" applyBorder="1"/>
    <xf numFmtId="0" fontId="9" fillId="0" borderId="24" xfId="0" applyFont="1" applyBorder="1"/>
    <xf numFmtId="0" fontId="10" fillId="0" borderId="24" xfId="0" applyFont="1" applyBorder="1"/>
    <xf numFmtId="0" fontId="11" fillId="0" borderId="24" xfId="0" applyFont="1" applyBorder="1" applyAlignment="1">
      <alignment vertical="top" wrapText="1"/>
    </xf>
    <xf numFmtId="0" fontId="11" fillId="0" borderId="24" xfId="0" applyFont="1" applyBorder="1" applyAlignment="1">
      <alignment wrapText="1"/>
    </xf>
    <xf numFmtId="49" fontId="11" fillId="0" borderId="24" xfId="0" applyNumberFormat="1" applyFont="1" applyBorder="1" applyAlignment="1">
      <alignment wrapText="1"/>
    </xf>
    <xf numFmtId="49" fontId="11" fillId="0" borderId="24" xfId="0" applyNumberFormat="1" applyFont="1" applyBorder="1" applyAlignment="1">
      <alignment vertical="top" wrapText="1"/>
    </xf>
    <xf numFmtId="0" fontId="0" fillId="0" borderId="8" xfId="0" applyBorder="1"/>
    <xf numFmtId="0" fontId="1" fillId="10" borderId="1" xfId="0" applyFont="1" applyFill="1" applyBorder="1" applyAlignment="1">
      <alignment horizontal="center"/>
    </xf>
    <xf numFmtId="0" fontId="1" fillId="10" borderId="1" xfId="0" applyFont="1" applyFill="1" applyBorder="1" applyAlignment="1">
      <alignment horizontal="center" wrapText="1"/>
    </xf>
    <xf numFmtId="1" fontId="0" fillId="0" borderId="8" xfId="0" applyNumberFormat="1" applyBorder="1" applyAlignment="1">
      <alignment horizontal="center"/>
    </xf>
    <xf numFmtId="0" fontId="0" fillId="0" borderId="7" xfId="0" applyBorder="1" applyAlignment="1">
      <alignment horizontal="center"/>
    </xf>
    <xf numFmtId="0" fontId="0" fillId="8" borderId="1" xfId="0" applyFill="1" applyBorder="1" applyAlignment="1">
      <alignment horizontal="center" vertical="center" wrapText="1"/>
    </xf>
    <xf numFmtId="0" fontId="2" fillId="9" borderId="1" xfId="0" applyFont="1" applyFill="1" applyBorder="1" applyAlignment="1">
      <alignment horizontal="center" vertical="center" wrapText="1"/>
    </xf>
    <xf numFmtId="0" fontId="0" fillId="9" borderId="1" xfId="0" applyFill="1" applyBorder="1" applyAlignment="1">
      <alignment horizontal="center" vertical="center"/>
    </xf>
    <xf numFmtId="0" fontId="0" fillId="0" borderId="1" xfId="0" applyBorder="1" applyAlignment="1">
      <alignment horizontal="center" wrapText="1"/>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1" fillId="0" borderId="12" xfId="0" applyFont="1" applyBorder="1" applyAlignment="1">
      <alignment horizontal="center"/>
    </xf>
    <xf numFmtId="0" fontId="1" fillId="0" borderId="13" xfId="0" applyFont="1" applyBorder="1" applyAlignment="1">
      <alignment horizontal="center"/>
    </xf>
    <xf numFmtId="0" fontId="1" fillId="0" borderId="14" xfId="0" applyFont="1" applyBorder="1" applyAlignment="1">
      <alignment horizontal="center"/>
    </xf>
    <xf numFmtId="0" fontId="0" fillId="0" borderId="8" xfId="0" applyBorder="1" applyAlignment="1">
      <alignment horizontal="center"/>
    </xf>
    <xf numFmtId="0" fontId="5" fillId="0" borderId="7" xfId="0" applyFont="1" applyBorder="1" applyAlignment="1">
      <alignment horizontal="center" vertical="center" wrapText="1"/>
    </xf>
    <xf numFmtId="0" fontId="5" fillId="0" borderId="0" xfId="0" applyFont="1" applyAlignment="1">
      <alignment horizontal="center" vertical="center" wrapText="1"/>
    </xf>
    <xf numFmtId="0" fontId="7" fillId="0" borderId="7" xfId="0" applyFont="1" applyBorder="1" applyAlignment="1">
      <alignment horizontal="center" vertical="center" wrapText="1"/>
    </xf>
    <xf numFmtId="0" fontId="0" fillId="0" borderId="7" xfId="0" applyBorder="1" applyAlignment="1">
      <alignment horizontal="left" vertical="center" wrapText="1"/>
    </xf>
    <xf numFmtId="0" fontId="5" fillId="0" borderId="23" xfId="0" applyFont="1" applyBorder="1" applyAlignment="1">
      <alignment horizontal="center" vertical="center" wrapText="1"/>
    </xf>
    <xf numFmtId="0" fontId="1"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1" fillId="0" borderId="15" xfId="0" applyFont="1" applyBorder="1" applyAlignment="1">
      <alignment horizontal="center"/>
    </xf>
    <xf numFmtId="0" fontId="1" fillId="0" borderId="7" xfId="0" applyFont="1" applyBorder="1" applyAlignment="1">
      <alignment horizontal="center"/>
    </xf>
    <xf numFmtId="0" fontId="1" fillId="0" borderId="16" xfId="0" applyFont="1" applyBorder="1" applyAlignment="1">
      <alignment horizontal="center"/>
    </xf>
    <xf numFmtId="0" fontId="5" fillId="0" borderId="15" xfId="0" applyFont="1" applyBorder="1" applyAlignment="1">
      <alignment horizontal="center"/>
    </xf>
    <xf numFmtId="0" fontId="5" fillId="0" borderId="7" xfId="0" applyFont="1" applyBorder="1" applyAlignment="1">
      <alignment horizontal="center"/>
    </xf>
    <xf numFmtId="0" fontId="5" fillId="0" borderId="16" xfId="0" applyFont="1" applyBorder="1" applyAlignment="1">
      <alignment horizontal="center"/>
    </xf>
    <xf numFmtId="0" fontId="5" fillId="0" borderId="15"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1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2" xfId="0" applyFont="1" applyBorder="1" applyAlignment="1">
      <alignment horizontal="center" vertical="center" wrapText="1"/>
    </xf>
    <xf numFmtId="0" fontId="7" fillId="0" borderId="8" xfId="0" applyFont="1" applyBorder="1" applyAlignment="1">
      <alignment horizontal="center" vertical="center" wrapText="1"/>
    </xf>
    <xf numFmtId="0" fontId="0" fillId="0" borderId="8" xfId="0" applyBorder="1" applyAlignment="1">
      <alignment horizontal="left" vertical="center" wrapText="1"/>
    </xf>
  </cellXfs>
  <cellStyles count="1">
    <cellStyle name="Normal" xfId="0" builtinId="0"/>
  </cellStyles>
  <dxfs count="15">
    <dxf>
      <font>
        <color rgb="FF006100"/>
      </font>
      <fill>
        <patternFill>
          <bgColor rgb="FFC6EFCE"/>
        </patternFill>
      </fill>
    </dxf>
    <dxf>
      <font>
        <color rgb="FF9C5700"/>
      </font>
      <fill>
        <patternFill>
          <bgColor rgb="FFFFEB9C"/>
        </patternFill>
      </fill>
    </dxf>
    <dxf>
      <font>
        <b val="0"/>
        <i/>
        <color theme="1"/>
      </font>
      <fill>
        <patternFill patternType="solid">
          <bgColor theme="0"/>
        </patternFill>
      </fill>
    </dxf>
    <dxf>
      <font>
        <color theme="3" tint="-0.249977111117893"/>
      </font>
      <fill>
        <patternFill patternType="solid">
          <bgColor theme="6" tint="0.79998168889431442"/>
        </patternFill>
      </fill>
    </dxf>
    <dxf>
      <font>
        <color rgb="FF9C0006"/>
      </font>
      <fill>
        <patternFill>
          <bgColor rgb="FFFFC7CE"/>
        </patternFill>
      </fill>
    </dxf>
    <dxf>
      <font>
        <color theme="5" tint="-0.499984740745262"/>
      </font>
      <fill>
        <patternFill patternType="solid">
          <bgColor theme="5" tint="0.59999389629810485"/>
        </patternFill>
      </fill>
    </dxf>
    <dxf>
      <font>
        <b val="0"/>
        <i/>
        <color theme="3"/>
      </font>
      <fill>
        <patternFill patternType="solid">
          <bgColor theme="0" tint="-4.9989318521683403E-2"/>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numFmt numFmtId="19" formatCode="m/d/yyyy"/>
    </dxf>
    <dxf>
      <numFmt numFmtId="19" formatCode="m/d/yyyy"/>
    </dxf>
    <dxf>
      <numFmt numFmtId="19" formatCode="m/d/yyyy"/>
    </dxf>
    <dxf>
      <border outline="0">
        <top style="thin">
          <color rgb="FF000000"/>
        </top>
      </border>
    </dxf>
    <dxf>
      <border outline="0">
        <bottom style="thin">
          <color rgb="FF000000"/>
        </bottom>
      </border>
    </dxf>
    <dxf>
      <font>
        <b/>
        <i val="0"/>
        <strike val="0"/>
        <condense val="0"/>
        <extend val="0"/>
        <outline val="0"/>
        <shadow val="0"/>
        <u val="none"/>
        <vertAlign val="baseline"/>
        <sz val="11"/>
        <color auto="1"/>
        <name val="Calibri"/>
        <family val="2"/>
        <scheme val="minor"/>
      </font>
      <fill>
        <patternFill patternType="solid">
          <fgColor indexed="64"/>
          <bgColor theme="4" tint="0.59999389629810485"/>
        </patternFill>
      </fill>
      <border diagonalUp="0" diagonalDown="0" outline="0">
        <left style="thin">
          <color rgb="FF000000"/>
        </left>
        <right style="thin">
          <color rgb="FF000000"/>
        </right>
        <top/>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Planned Tasks</a:t>
            </a:r>
          </a:p>
        </c:rich>
      </c:tx>
      <c:layout>
        <c:manualLayout>
          <c:xMode val="edge"/>
          <c:yMode val="edge"/>
          <c:x val="0.41157633420822404"/>
          <c:y val="2.7777777777777776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Delivery_Dashboard!$B$19</c:f>
              <c:strCache>
                <c:ptCount val="1"/>
                <c:pt idx="0">
                  <c:v>P1</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Delivery_Dashboard!$C$17:$F$18</c:f>
              <c:strCache>
                <c:ptCount val="4"/>
                <c:pt idx="0">
                  <c:v>Open</c:v>
                </c:pt>
                <c:pt idx="1">
                  <c:v>WIP</c:v>
                </c:pt>
                <c:pt idx="2">
                  <c:v>On Hold</c:v>
                </c:pt>
                <c:pt idx="3">
                  <c:v>Closed</c:v>
                </c:pt>
              </c:strCache>
            </c:strRef>
          </c:cat>
          <c:val>
            <c:numRef>
              <c:f>Delivery_Dashboard!$C$19:$F$19</c:f>
              <c:numCache>
                <c:formatCode>General</c:formatCode>
                <c:ptCount val="4"/>
                <c:pt idx="0">
                  <c:v>2</c:v>
                </c:pt>
                <c:pt idx="1">
                  <c:v>0</c:v>
                </c:pt>
                <c:pt idx="2">
                  <c:v>0</c:v>
                </c:pt>
                <c:pt idx="3">
                  <c:v>2</c:v>
                </c:pt>
              </c:numCache>
            </c:numRef>
          </c:val>
          <c:extLst>
            <c:ext xmlns:c16="http://schemas.microsoft.com/office/drawing/2014/chart" uri="{C3380CC4-5D6E-409C-BE32-E72D297353CC}">
              <c16:uniqueId val="{00000000-20A8-4F72-B023-871D1FBA3D70}"/>
            </c:ext>
          </c:extLst>
        </c:ser>
        <c:ser>
          <c:idx val="1"/>
          <c:order val="1"/>
          <c:tx>
            <c:strRef>
              <c:f>Delivery_Dashboard!$B$20</c:f>
              <c:strCache>
                <c:ptCount val="1"/>
                <c:pt idx="0">
                  <c:v>P2</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Delivery_Dashboard!$C$17:$F$18</c:f>
              <c:strCache>
                <c:ptCount val="4"/>
                <c:pt idx="0">
                  <c:v>Open</c:v>
                </c:pt>
                <c:pt idx="1">
                  <c:v>WIP</c:v>
                </c:pt>
                <c:pt idx="2">
                  <c:v>On Hold</c:v>
                </c:pt>
                <c:pt idx="3">
                  <c:v>Closed</c:v>
                </c:pt>
              </c:strCache>
            </c:strRef>
          </c:cat>
          <c:val>
            <c:numRef>
              <c:f>Delivery_Dashboard!$C$20:$F$20</c:f>
              <c:numCache>
                <c:formatCode>General</c:formatCode>
                <c:ptCount val="4"/>
                <c:pt idx="0">
                  <c:v>0</c:v>
                </c:pt>
                <c:pt idx="1">
                  <c:v>0</c:v>
                </c:pt>
                <c:pt idx="2">
                  <c:v>1</c:v>
                </c:pt>
                <c:pt idx="3">
                  <c:v>3</c:v>
                </c:pt>
              </c:numCache>
            </c:numRef>
          </c:val>
          <c:extLst>
            <c:ext xmlns:c16="http://schemas.microsoft.com/office/drawing/2014/chart" uri="{C3380CC4-5D6E-409C-BE32-E72D297353CC}">
              <c16:uniqueId val="{00000002-20A8-4F72-B023-871D1FBA3D70}"/>
            </c:ext>
          </c:extLst>
        </c:ser>
        <c:ser>
          <c:idx val="2"/>
          <c:order val="2"/>
          <c:tx>
            <c:strRef>
              <c:f>Delivery_Dashboard!$B$21</c:f>
              <c:strCache>
                <c:ptCount val="1"/>
                <c:pt idx="0">
                  <c:v>P3</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Delivery_Dashboard!$C$17:$F$18</c:f>
              <c:strCache>
                <c:ptCount val="4"/>
                <c:pt idx="0">
                  <c:v>Open</c:v>
                </c:pt>
                <c:pt idx="1">
                  <c:v>WIP</c:v>
                </c:pt>
                <c:pt idx="2">
                  <c:v>On Hold</c:v>
                </c:pt>
                <c:pt idx="3">
                  <c:v>Closed</c:v>
                </c:pt>
              </c:strCache>
            </c:strRef>
          </c:cat>
          <c:val>
            <c:numRef>
              <c:f>Delivery_Dashboard!$C$21:$F$21</c:f>
              <c:numCache>
                <c:formatCode>General</c:formatCode>
                <c:ptCount val="4"/>
                <c:pt idx="0">
                  <c:v>2</c:v>
                </c:pt>
                <c:pt idx="1">
                  <c:v>1</c:v>
                </c:pt>
                <c:pt idx="2">
                  <c:v>0</c:v>
                </c:pt>
                <c:pt idx="3">
                  <c:v>3</c:v>
                </c:pt>
              </c:numCache>
            </c:numRef>
          </c:val>
          <c:extLst>
            <c:ext xmlns:c16="http://schemas.microsoft.com/office/drawing/2014/chart" uri="{C3380CC4-5D6E-409C-BE32-E72D297353CC}">
              <c16:uniqueId val="{00000004-20A8-4F72-B023-871D1FBA3D70}"/>
            </c:ext>
          </c:extLst>
        </c:ser>
        <c:ser>
          <c:idx val="3"/>
          <c:order val="3"/>
          <c:tx>
            <c:strRef>
              <c:f>Delivery_Dashboard!$B$22</c:f>
              <c:strCache>
                <c:ptCount val="1"/>
                <c:pt idx="0">
                  <c:v>P4</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Delivery_Dashboard!$C$17:$F$18</c:f>
              <c:strCache>
                <c:ptCount val="4"/>
                <c:pt idx="0">
                  <c:v>Open</c:v>
                </c:pt>
                <c:pt idx="1">
                  <c:v>WIP</c:v>
                </c:pt>
                <c:pt idx="2">
                  <c:v>On Hold</c:v>
                </c:pt>
                <c:pt idx="3">
                  <c:v>Closed</c:v>
                </c:pt>
              </c:strCache>
            </c:strRef>
          </c:cat>
          <c:val>
            <c:numRef>
              <c:f>Delivery_Dashboard!$C$22:$F$22</c:f>
              <c:numCache>
                <c:formatCode>General</c:formatCode>
                <c:ptCount val="4"/>
                <c:pt idx="0">
                  <c:v>1</c:v>
                </c:pt>
                <c:pt idx="1">
                  <c:v>0</c:v>
                </c:pt>
                <c:pt idx="2">
                  <c:v>0</c:v>
                </c:pt>
                <c:pt idx="3">
                  <c:v>4</c:v>
                </c:pt>
              </c:numCache>
            </c:numRef>
          </c:val>
          <c:extLst>
            <c:ext xmlns:c16="http://schemas.microsoft.com/office/drawing/2014/chart" uri="{C3380CC4-5D6E-409C-BE32-E72D297353CC}">
              <c16:uniqueId val="{00000006-20A8-4F72-B023-871D1FBA3D70}"/>
            </c:ext>
          </c:extLst>
        </c:ser>
        <c:dLbls>
          <c:dLblPos val="outEnd"/>
          <c:showLegendKey val="0"/>
          <c:showVal val="1"/>
          <c:showCatName val="0"/>
          <c:showSerName val="0"/>
          <c:showPercent val="0"/>
          <c:showBubbleSize val="0"/>
        </c:dLbls>
        <c:gapWidth val="444"/>
        <c:overlap val="-90"/>
        <c:axId val="834803207"/>
        <c:axId val="835628551"/>
      </c:barChart>
      <c:catAx>
        <c:axId val="834803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35628551"/>
        <c:crosses val="autoZero"/>
        <c:auto val="1"/>
        <c:lblAlgn val="ctr"/>
        <c:lblOffset val="100"/>
        <c:noMultiLvlLbl val="0"/>
      </c:catAx>
      <c:valAx>
        <c:axId val="835628551"/>
        <c:scaling>
          <c:orientation val="minMax"/>
          <c:max val="4"/>
        </c:scaling>
        <c:delete val="1"/>
        <c:axPos val="l"/>
        <c:numFmt formatCode="General" sourceLinked="1"/>
        <c:majorTickMark val="none"/>
        <c:minorTickMark val="none"/>
        <c:tickLblPos val="nextTo"/>
        <c:crossAx val="834803207"/>
        <c:crosses val="autoZero"/>
        <c:crossBetween val="between"/>
        <c:majorUnit val="1"/>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Unplanned Tasks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Delivery_Dashboard!$B$25</c:f>
              <c:strCache>
                <c:ptCount val="1"/>
                <c:pt idx="0">
                  <c:v>P1</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Delivery_Dashboard!$C$24:$F$24</c:f>
              <c:strCache>
                <c:ptCount val="4"/>
                <c:pt idx="0">
                  <c:v>Open</c:v>
                </c:pt>
                <c:pt idx="1">
                  <c:v>WIP</c:v>
                </c:pt>
                <c:pt idx="2">
                  <c:v>On Hold</c:v>
                </c:pt>
                <c:pt idx="3">
                  <c:v>Closed</c:v>
                </c:pt>
              </c:strCache>
            </c:strRef>
          </c:cat>
          <c:val>
            <c:numRef>
              <c:f>Delivery_Dashboard!$C$25:$F$25</c:f>
              <c:numCache>
                <c:formatCode>General</c:formatCode>
                <c:ptCount val="4"/>
                <c:pt idx="0">
                  <c:v>3</c:v>
                </c:pt>
                <c:pt idx="1">
                  <c:v>4</c:v>
                </c:pt>
                <c:pt idx="2">
                  <c:v>0</c:v>
                </c:pt>
                <c:pt idx="3">
                  <c:v>1</c:v>
                </c:pt>
              </c:numCache>
            </c:numRef>
          </c:val>
          <c:extLst>
            <c:ext xmlns:c16="http://schemas.microsoft.com/office/drawing/2014/chart" uri="{C3380CC4-5D6E-409C-BE32-E72D297353CC}">
              <c16:uniqueId val="{00000000-2221-4781-B454-9C3CB302DF0C}"/>
            </c:ext>
          </c:extLst>
        </c:ser>
        <c:ser>
          <c:idx val="1"/>
          <c:order val="1"/>
          <c:tx>
            <c:strRef>
              <c:f>Delivery_Dashboard!$B$26</c:f>
              <c:strCache>
                <c:ptCount val="1"/>
                <c:pt idx="0">
                  <c:v>P2</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Delivery_Dashboard!$C$24:$F$24</c:f>
              <c:strCache>
                <c:ptCount val="4"/>
                <c:pt idx="0">
                  <c:v>Open</c:v>
                </c:pt>
                <c:pt idx="1">
                  <c:v>WIP</c:v>
                </c:pt>
                <c:pt idx="2">
                  <c:v>On Hold</c:v>
                </c:pt>
                <c:pt idx="3">
                  <c:v>Closed</c:v>
                </c:pt>
              </c:strCache>
            </c:strRef>
          </c:cat>
          <c:val>
            <c:numRef>
              <c:f>Delivery_Dashboard!$C$26:$F$26</c:f>
              <c:numCache>
                <c:formatCode>General</c:formatCode>
                <c:ptCount val="4"/>
                <c:pt idx="0">
                  <c:v>0</c:v>
                </c:pt>
                <c:pt idx="1">
                  <c:v>3</c:v>
                </c:pt>
                <c:pt idx="2">
                  <c:v>0</c:v>
                </c:pt>
                <c:pt idx="3">
                  <c:v>12</c:v>
                </c:pt>
              </c:numCache>
            </c:numRef>
          </c:val>
          <c:extLst>
            <c:ext xmlns:c16="http://schemas.microsoft.com/office/drawing/2014/chart" uri="{C3380CC4-5D6E-409C-BE32-E72D297353CC}">
              <c16:uniqueId val="{00000002-2221-4781-B454-9C3CB302DF0C}"/>
            </c:ext>
          </c:extLst>
        </c:ser>
        <c:ser>
          <c:idx val="2"/>
          <c:order val="2"/>
          <c:tx>
            <c:strRef>
              <c:f>Delivery_Dashboard!$B$27</c:f>
              <c:strCache>
                <c:ptCount val="1"/>
                <c:pt idx="0">
                  <c:v>P3</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Delivery_Dashboard!$C$24:$F$24</c:f>
              <c:strCache>
                <c:ptCount val="4"/>
                <c:pt idx="0">
                  <c:v>Open</c:v>
                </c:pt>
                <c:pt idx="1">
                  <c:v>WIP</c:v>
                </c:pt>
                <c:pt idx="2">
                  <c:v>On Hold</c:v>
                </c:pt>
                <c:pt idx="3">
                  <c:v>Closed</c:v>
                </c:pt>
              </c:strCache>
            </c:strRef>
          </c:cat>
          <c:val>
            <c:numRef>
              <c:f>Delivery_Dashboard!$C$27:$F$27</c:f>
              <c:numCache>
                <c:formatCode>General</c:formatCode>
                <c:ptCount val="4"/>
                <c:pt idx="0">
                  <c:v>2</c:v>
                </c:pt>
                <c:pt idx="1">
                  <c:v>7</c:v>
                </c:pt>
                <c:pt idx="2">
                  <c:v>0</c:v>
                </c:pt>
                <c:pt idx="3">
                  <c:v>3</c:v>
                </c:pt>
              </c:numCache>
            </c:numRef>
          </c:val>
          <c:extLst>
            <c:ext xmlns:c16="http://schemas.microsoft.com/office/drawing/2014/chart" uri="{C3380CC4-5D6E-409C-BE32-E72D297353CC}">
              <c16:uniqueId val="{00000004-2221-4781-B454-9C3CB302DF0C}"/>
            </c:ext>
          </c:extLst>
        </c:ser>
        <c:ser>
          <c:idx val="3"/>
          <c:order val="3"/>
          <c:tx>
            <c:strRef>
              <c:f>Delivery_Dashboard!$B$28</c:f>
              <c:strCache>
                <c:ptCount val="1"/>
                <c:pt idx="0">
                  <c:v>P4</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Delivery_Dashboard!$C$24:$F$24</c:f>
              <c:strCache>
                <c:ptCount val="4"/>
                <c:pt idx="0">
                  <c:v>Open</c:v>
                </c:pt>
                <c:pt idx="1">
                  <c:v>WIP</c:v>
                </c:pt>
                <c:pt idx="2">
                  <c:v>On Hold</c:v>
                </c:pt>
                <c:pt idx="3">
                  <c:v>Closed</c:v>
                </c:pt>
              </c:strCache>
            </c:strRef>
          </c:cat>
          <c:val>
            <c:numRef>
              <c:f>Delivery_Dashboard!$C$28:$F$28</c:f>
              <c:numCache>
                <c:formatCode>General</c:formatCode>
                <c:ptCount val="4"/>
                <c:pt idx="0">
                  <c:v>7</c:v>
                </c:pt>
                <c:pt idx="1">
                  <c:v>0</c:v>
                </c:pt>
                <c:pt idx="2">
                  <c:v>0</c:v>
                </c:pt>
                <c:pt idx="3">
                  <c:v>3</c:v>
                </c:pt>
              </c:numCache>
            </c:numRef>
          </c:val>
          <c:extLst>
            <c:ext xmlns:c16="http://schemas.microsoft.com/office/drawing/2014/chart" uri="{C3380CC4-5D6E-409C-BE32-E72D297353CC}">
              <c16:uniqueId val="{00000006-2221-4781-B454-9C3CB302DF0C}"/>
            </c:ext>
          </c:extLst>
        </c:ser>
        <c:dLbls>
          <c:dLblPos val="outEnd"/>
          <c:showLegendKey val="0"/>
          <c:showVal val="1"/>
          <c:showCatName val="0"/>
          <c:showSerName val="0"/>
          <c:showPercent val="0"/>
          <c:showBubbleSize val="0"/>
        </c:dLbls>
        <c:gapWidth val="444"/>
        <c:overlap val="-90"/>
        <c:axId val="929985031"/>
        <c:axId val="929987079"/>
      </c:barChart>
      <c:catAx>
        <c:axId val="9299850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29987079"/>
        <c:crosses val="autoZero"/>
        <c:auto val="1"/>
        <c:lblAlgn val="ctr"/>
        <c:lblOffset val="100"/>
        <c:noMultiLvlLbl val="0"/>
      </c:catAx>
      <c:valAx>
        <c:axId val="929987079"/>
        <c:scaling>
          <c:orientation val="minMax"/>
        </c:scaling>
        <c:delete val="1"/>
        <c:axPos val="l"/>
        <c:numFmt formatCode="General" sourceLinked="1"/>
        <c:majorTickMark val="none"/>
        <c:minorTickMark val="none"/>
        <c:tickLblPos val="nextTo"/>
        <c:crossAx val="92998503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Throughput by Sprint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Delivery_Dashboard!$B$32:$B$37</c:f>
              <c:strCache>
                <c:ptCount val="6"/>
                <c:pt idx="0">
                  <c:v>Sprint 1</c:v>
                </c:pt>
                <c:pt idx="1">
                  <c:v>Sprint 2</c:v>
                </c:pt>
                <c:pt idx="2">
                  <c:v>Sprint 3</c:v>
                </c:pt>
                <c:pt idx="3">
                  <c:v>Sprint 4</c:v>
                </c:pt>
                <c:pt idx="4">
                  <c:v>Sprint 5</c:v>
                </c:pt>
                <c:pt idx="5">
                  <c:v>Sprint 6</c:v>
                </c:pt>
              </c:strCache>
            </c:strRef>
          </c:cat>
          <c:val>
            <c:numRef>
              <c:f>Delivery_Dashboard!$C$32:$C$37</c:f>
              <c:numCache>
                <c:formatCode>General</c:formatCode>
                <c:ptCount val="6"/>
                <c:pt idx="0">
                  <c:v>7</c:v>
                </c:pt>
                <c:pt idx="1">
                  <c:v>6</c:v>
                </c:pt>
                <c:pt idx="2">
                  <c:v>9</c:v>
                </c:pt>
                <c:pt idx="3">
                  <c:v>11</c:v>
                </c:pt>
                <c:pt idx="4">
                  <c:v>6</c:v>
                </c:pt>
                <c:pt idx="5">
                  <c:v>11</c:v>
                </c:pt>
              </c:numCache>
            </c:numRef>
          </c:val>
          <c:extLst>
            <c:ext xmlns:c16="http://schemas.microsoft.com/office/drawing/2014/chart" uri="{C3380CC4-5D6E-409C-BE32-E72D297353CC}">
              <c16:uniqueId val="{00000000-02A2-43F1-9704-7DFF8A9DFC0A}"/>
            </c:ext>
          </c:extLst>
        </c:ser>
        <c:dLbls>
          <c:dLblPos val="outEnd"/>
          <c:showLegendKey val="0"/>
          <c:showVal val="1"/>
          <c:showCatName val="0"/>
          <c:showSerName val="0"/>
          <c:showPercent val="0"/>
          <c:showBubbleSize val="0"/>
        </c:dLbls>
        <c:gapWidth val="444"/>
        <c:overlap val="-90"/>
        <c:axId val="565931216"/>
        <c:axId val="565931696"/>
      </c:barChart>
      <c:catAx>
        <c:axId val="565931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65931696"/>
        <c:crosses val="autoZero"/>
        <c:auto val="1"/>
        <c:lblAlgn val="ctr"/>
        <c:lblOffset val="100"/>
        <c:noMultiLvlLbl val="0"/>
      </c:catAx>
      <c:valAx>
        <c:axId val="565931696"/>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Number of Tickets Completed</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565931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Average Cycle Time by Sprint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Delivery_Dashboard!$E$32:$E$37</c:f>
              <c:strCache>
                <c:ptCount val="6"/>
                <c:pt idx="0">
                  <c:v>Sprint 1</c:v>
                </c:pt>
                <c:pt idx="1">
                  <c:v>Sprint 2</c:v>
                </c:pt>
                <c:pt idx="2">
                  <c:v>Sprint 3</c:v>
                </c:pt>
                <c:pt idx="3">
                  <c:v>Sprint 4</c:v>
                </c:pt>
                <c:pt idx="4">
                  <c:v>Sprint 5</c:v>
                </c:pt>
                <c:pt idx="5">
                  <c:v>Sprint 6</c:v>
                </c:pt>
              </c:strCache>
            </c:strRef>
          </c:cat>
          <c:val>
            <c:numRef>
              <c:f>Delivery_Dashboard!$F$32:$F$37</c:f>
              <c:numCache>
                <c:formatCode>General</c:formatCode>
                <c:ptCount val="6"/>
              </c:numCache>
            </c:numRef>
          </c:val>
          <c:smooth val="0"/>
          <c:extLst>
            <c:ext xmlns:c16="http://schemas.microsoft.com/office/drawing/2014/chart" uri="{C3380CC4-5D6E-409C-BE32-E72D297353CC}">
              <c16:uniqueId val="{00000000-3723-44C1-AF4A-D740E7859F94}"/>
            </c:ext>
          </c:extLst>
        </c:ser>
        <c:ser>
          <c:idx val="1"/>
          <c:order val="1"/>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Delivery_Dashboard!$E$32:$E$37</c:f>
              <c:strCache>
                <c:ptCount val="6"/>
                <c:pt idx="0">
                  <c:v>Sprint 1</c:v>
                </c:pt>
                <c:pt idx="1">
                  <c:v>Sprint 2</c:v>
                </c:pt>
                <c:pt idx="2">
                  <c:v>Sprint 3</c:v>
                </c:pt>
                <c:pt idx="3">
                  <c:v>Sprint 4</c:v>
                </c:pt>
                <c:pt idx="4">
                  <c:v>Sprint 5</c:v>
                </c:pt>
                <c:pt idx="5">
                  <c:v>Sprint 6</c:v>
                </c:pt>
              </c:strCache>
            </c:strRef>
          </c:cat>
          <c:val>
            <c:numRef>
              <c:f>Delivery_Dashboard!$G$32:$G$37</c:f>
              <c:numCache>
                <c:formatCode>0</c:formatCode>
                <c:ptCount val="6"/>
                <c:pt idx="0">
                  <c:v>9.1428571428571423</c:v>
                </c:pt>
                <c:pt idx="1">
                  <c:v>11</c:v>
                </c:pt>
                <c:pt idx="2">
                  <c:v>14.333333333333334</c:v>
                </c:pt>
                <c:pt idx="3">
                  <c:v>13.090909090909092</c:v>
                </c:pt>
                <c:pt idx="4">
                  <c:v>14.333333333333334</c:v>
                </c:pt>
                <c:pt idx="5">
                  <c:v>14</c:v>
                </c:pt>
              </c:numCache>
            </c:numRef>
          </c:val>
          <c:smooth val="0"/>
          <c:extLst>
            <c:ext xmlns:c16="http://schemas.microsoft.com/office/drawing/2014/chart" uri="{C3380CC4-5D6E-409C-BE32-E72D297353CC}">
              <c16:uniqueId val="{00000001-3723-44C1-AF4A-D740E7859F94}"/>
            </c:ext>
          </c:extLst>
        </c:ser>
        <c:ser>
          <c:idx val="2"/>
          <c:order val="2"/>
          <c:spPr>
            <a:ln w="22225" cap="rnd">
              <a:solidFill>
                <a:schemeClr val="accent3"/>
              </a:solidFill>
              <a:round/>
            </a:ln>
            <a:effectLst/>
          </c:spPr>
          <c:marker>
            <c:symbol val="triangle"/>
            <c:size val="6"/>
            <c:spPr>
              <a:solidFill>
                <a:schemeClr val="accent3"/>
              </a:solidFill>
              <a:ln w="9525">
                <a:solidFill>
                  <a:schemeClr val="accent3"/>
                </a:solidFill>
                <a:round/>
              </a:ln>
              <a:effectLst/>
            </c:spPr>
          </c:marker>
          <c:cat>
            <c:strRef>
              <c:f>Delivery_Dashboard!$E$32:$E$37</c:f>
              <c:strCache>
                <c:ptCount val="6"/>
                <c:pt idx="0">
                  <c:v>Sprint 1</c:v>
                </c:pt>
                <c:pt idx="1">
                  <c:v>Sprint 2</c:v>
                </c:pt>
                <c:pt idx="2">
                  <c:v>Sprint 3</c:v>
                </c:pt>
                <c:pt idx="3">
                  <c:v>Sprint 4</c:v>
                </c:pt>
                <c:pt idx="4">
                  <c:v>Sprint 5</c:v>
                </c:pt>
                <c:pt idx="5">
                  <c:v>Sprint 6</c:v>
                </c:pt>
              </c:strCache>
            </c:strRef>
          </c:cat>
          <c:val>
            <c:numRef>
              <c:f>Delivery_Dashboard!$H$32:$H$37</c:f>
              <c:numCache>
                <c:formatCode>0</c:formatCode>
                <c:ptCount val="6"/>
              </c:numCache>
            </c:numRef>
          </c:val>
          <c:smooth val="0"/>
          <c:extLst>
            <c:ext xmlns:c16="http://schemas.microsoft.com/office/drawing/2014/chart" uri="{C3380CC4-5D6E-409C-BE32-E72D297353CC}">
              <c16:uniqueId val="{00000002-3723-44C1-AF4A-D740E7859F94}"/>
            </c:ext>
          </c:extLst>
        </c:ser>
        <c:dLbls>
          <c:showLegendKey val="0"/>
          <c:showVal val="0"/>
          <c:showCatName val="0"/>
          <c:showSerName val="0"/>
          <c:showPercent val="0"/>
          <c:showBubbleSize val="0"/>
        </c:dLbls>
        <c:marker val="1"/>
        <c:smooth val="0"/>
        <c:axId val="1070664703"/>
        <c:axId val="1070666143"/>
      </c:lineChart>
      <c:catAx>
        <c:axId val="10706647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070666143"/>
        <c:crosses val="autoZero"/>
        <c:auto val="1"/>
        <c:lblAlgn val="ctr"/>
        <c:lblOffset val="100"/>
        <c:noMultiLvlLbl val="0"/>
      </c:catAx>
      <c:valAx>
        <c:axId val="1070666143"/>
        <c:scaling>
          <c:orientation val="minMax"/>
          <c:max val="16"/>
          <c:min val="0"/>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Cycle Time (Days)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664703"/>
        <c:crosses val="autoZero"/>
        <c:crossBetween val="between"/>
        <c:majorUnit val="4"/>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WIP by Developer</a:t>
            </a:r>
          </a:p>
        </c:rich>
      </c:tx>
      <c:layout>
        <c:manualLayout>
          <c:xMode val="edge"/>
          <c:yMode val="edge"/>
          <c:x val="0.28767085076708504"/>
          <c:y val="2.7753688563549938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Kanban_Metrics!$H$3:$H$7</c:f>
              <c:strCache>
                <c:ptCount val="5"/>
                <c:pt idx="0">
                  <c:v>Dev 1</c:v>
                </c:pt>
                <c:pt idx="1">
                  <c:v>Dev 2</c:v>
                </c:pt>
                <c:pt idx="2">
                  <c:v>Dev 3</c:v>
                </c:pt>
                <c:pt idx="3">
                  <c:v>Dev 4</c:v>
                </c:pt>
                <c:pt idx="4">
                  <c:v>Dev 5</c:v>
                </c:pt>
              </c:strCache>
            </c:strRef>
          </c:cat>
          <c:val>
            <c:numRef>
              <c:f>Kanban_Metrics!$J$3:$J$7</c:f>
              <c:numCache>
                <c:formatCode>General</c:formatCode>
                <c:ptCount val="5"/>
                <c:pt idx="0">
                  <c:v>5</c:v>
                </c:pt>
                <c:pt idx="1">
                  <c:v>3</c:v>
                </c:pt>
                <c:pt idx="2">
                  <c:v>5</c:v>
                </c:pt>
                <c:pt idx="3">
                  <c:v>5</c:v>
                </c:pt>
                <c:pt idx="4">
                  <c:v>4</c:v>
                </c:pt>
              </c:numCache>
            </c:numRef>
          </c:val>
          <c:extLst>
            <c:ext xmlns:c16="http://schemas.microsoft.com/office/drawing/2014/chart" uri="{C3380CC4-5D6E-409C-BE32-E72D297353CC}">
              <c16:uniqueId val="{00000000-C709-4EF7-943D-E3B48AF8D8FF}"/>
            </c:ext>
          </c:extLst>
        </c:ser>
        <c:dLbls>
          <c:dLblPos val="outEnd"/>
          <c:showLegendKey val="0"/>
          <c:showVal val="1"/>
          <c:showCatName val="0"/>
          <c:showSerName val="0"/>
          <c:showPercent val="0"/>
          <c:showBubbleSize val="0"/>
        </c:dLbls>
        <c:gapWidth val="444"/>
        <c:overlap val="-90"/>
        <c:axId val="1236121679"/>
        <c:axId val="1236126959"/>
      </c:barChart>
      <c:catAx>
        <c:axId val="12361216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Developer Name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36126959"/>
        <c:crosses val="autoZero"/>
        <c:auto val="1"/>
        <c:lblAlgn val="ctr"/>
        <c:lblOffset val="100"/>
        <c:noMultiLvlLbl val="0"/>
      </c:catAx>
      <c:valAx>
        <c:axId val="1236126959"/>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Number of WIP Tickets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236121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18</xdr:col>
      <xdr:colOff>123825</xdr:colOff>
      <xdr:row>0</xdr:row>
      <xdr:rowOff>133350</xdr:rowOff>
    </xdr:from>
    <xdr:to>
      <xdr:col>25</xdr:col>
      <xdr:colOff>428625</xdr:colOff>
      <xdr:row>15</xdr:row>
      <xdr:rowOff>19050</xdr:rowOff>
    </xdr:to>
    <xdr:graphicFrame macro="">
      <xdr:nvGraphicFramePr>
        <xdr:cNvPr id="4" name="Chart 1">
          <a:extLst>
            <a:ext uri="{FF2B5EF4-FFF2-40B4-BE49-F238E27FC236}">
              <a16:creationId xmlns:a16="http://schemas.microsoft.com/office/drawing/2014/main" id="{3647BF5C-56AE-7E5F-4D4D-8EE0C5B8F9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200025</xdr:colOff>
      <xdr:row>16</xdr:row>
      <xdr:rowOff>9525</xdr:rowOff>
    </xdr:from>
    <xdr:to>
      <xdr:col>25</xdr:col>
      <xdr:colOff>504825</xdr:colOff>
      <xdr:row>28</xdr:row>
      <xdr:rowOff>66675</xdr:rowOff>
    </xdr:to>
    <xdr:graphicFrame macro="">
      <xdr:nvGraphicFramePr>
        <xdr:cNvPr id="5" name="Chart 2">
          <a:extLst>
            <a:ext uri="{FF2B5EF4-FFF2-40B4-BE49-F238E27FC236}">
              <a16:creationId xmlns:a16="http://schemas.microsoft.com/office/drawing/2014/main" id="{C6C2863B-9280-73B2-BCA5-76E3692ADE19}"/>
            </a:ext>
            <a:ext uri="{147F2762-F138-4A5C-976F-8EAC2B608ADB}">
              <a16:predDERef xmlns:a16="http://schemas.microsoft.com/office/drawing/2014/main" pred="{3647BF5C-56AE-7E5F-4D4D-8EE0C5B8F9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100012</xdr:colOff>
      <xdr:row>1</xdr:row>
      <xdr:rowOff>4762</xdr:rowOff>
    </xdr:from>
    <xdr:to>
      <xdr:col>17</xdr:col>
      <xdr:colOff>404812</xdr:colOff>
      <xdr:row>15</xdr:row>
      <xdr:rowOff>80962</xdr:rowOff>
    </xdr:to>
    <xdr:graphicFrame macro="">
      <xdr:nvGraphicFramePr>
        <xdr:cNvPr id="8" name="Chart 7">
          <a:extLst>
            <a:ext uri="{FF2B5EF4-FFF2-40B4-BE49-F238E27FC236}">
              <a16:creationId xmlns:a16="http://schemas.microsoft.com/office/drawing/2014/main" id="{6ABC5BEE-52F5-D625-A45B-00DEE99D8B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66675</xdr:colOff>
      <xdr:row>16</xdr:row>
      <xdr:rowOff>157162</xdr:rowOff>
    </xdr:from>
    <xdr:to>
      <xdr:col>17</xdr:col>
      <xdr:colOff>438150</xdr:colOff>
      <xdr:row>29</xdr:row>
      <xdr:rowOff>14287</xdr:rowOff>
    </xdr:to>
    <xdr:graphicFrame macro="">
      <xdr:nvGraphicFramePr>
        <xdr:cNvPr id="9" name="Chart 8">
          <a:extLst>
            <a:ext uri="{FF2B5EF4-FFF2-40B4-BE49-F238E27FC236}">
              <a16:creationId xmlns:a16="http://schemas.microsoft.com/office/drawing/2014/main" id="{D5C1BFD8-9FC4-CE2B-0271-770B940EC8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319087</xdr:colOff>
      <xdr:row>29</xdr:row>
      <xdr:rowOff>188118</xdr:rowOff>
    </xdr:from>
    <xdr:to>
      <xdr:col>22</xdr:col>
      <xdr:colOff>14288</xdr:colOff>
      <xdr:row>44</xdr:row>
      <xdr:rowOff>64293</xdr:rowOff>
    </xdr:to>
    <xdr:graphicFrame macro="">
      <xdr:nvGraphicFramePr>
        <xdr:cNvPr id="10" name="Chart 9">
          <a:extLst>
            <a:ext uri="{FF2B5EF4-FFF2-40B4-BE49-F238E27FC236}">
              <a16:creationId xmlns:a16="http://schemas.microsoft.com/office/drawing/2014/main" id="{CC9E4E19-19C4-4305-9F12-F858702BA4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7177EE-10D6-45ED-939B-E8400DB09FF2}" name="Table1" displayName="Table1" ref="A1:O100" totalsRowShown="0" headerRowDxfId="14" headerRowBorderDxfId="13" tableBorderDxfId="12">
  <autoFilter ref="A1:O100" xr:uid="{00000000-0001-0000-0000-000000000000}"/>
  <tableColumns count="15">
    <tableColumn id="1" xr3:uid="{A0830FB1-D194-4AA6-A8BF-0F32D01B2C68}" name="Request Recieved"/>
    <tableColumn id="2" xr3:uid="{0D15A876-35B3-44AA-82C6-43D96B5827AB}" name="Commitment"/>
    <tableColumn id="3" xr3:uid="{BBA37B04-ED15-4725-B7E0-F334C5417F77}" name="Assignee"/>
    <tableColumn id="4" xr3:uid="{22A0B329-3AE3-4FCE-A35C-ED38E27EF582}" name="Task Type"/>
    <tableColumn id="5" xr3:uid="{01745E0F-C563-45BA-9026-C8B09E017FB5}" name="Priority"/>
    <tableColumn id="6" xr3:uid="{DB696888-E7D9-49BA-8C6D-2BFAB601F1AD}" name="Ticket #"/>
    <tableColumn id="7" xr3:uid="{59ED0596-5181-4B95-BF69-B84EC9C65B30}" name="Summary"/>
    <tableColumn id="8" xr3:uid="{8F899449-73B6-4B4E-878E-51F2776CEC4C}" name="Status"/>
    <tableColumn id="9" xr3:uid="{04C8FCDA-E067-44A7-9018-27BB82D10CC2}" name="Start Date" dataDxfId="11"/>
    <tableColumn id="10" xr3:uid="{E32E7C05-4107-411D-B2F6-D63C52385517}" name="ETA" dataDxfId="10"/>
    <tableColumn id="11" xr3:uid="{C2743CA8-C419-4978-9997-9BE361A38F23}" name="Closed Date" dataDxfId="9"/>
    <tableColumn id="12" xr3:uid="{BD9970DD-6D4C-4D16-90E0-9024039B3669}" name="Sprint" dataDxfId="8">
      <calculatedColumnFormula>IF(K2="","",IF(AND(K2&gt;=DATE(2025,10,21),K2&lt;=DATE(2025,10,21)),"PI-3 Sprint 6",IF(AND(K2&gt;=DATE(2025,10,22),K2&lt;=DATE(2025,11,4)),"Sprint 1",IF(AND(K2&gt;=DATE(2025,11,5),K2&lt;=DATE(2025,11,18)),"Sprint 2",IF(AND(K2&gt;=DATE(2025,11,19),K2&lt;=DATE(2025,12,2)),"Sprint 3",IF(AND(K2&gt;=DATE(2025,12,3),K2&lt;=DATE(2025,12,16)),"Sprint 4",IF(AND(K2&gt;=DATE(2025,12,17),K2&lt;=DATE(2025,12,30)),"Sprint 5",IF(AND(K2&gt;=DATE(2025,12,31),K2&lt;=DATE(2026,1,20)),"Sprint 6","N/A"))))))))</calculatedColumnFormula>
    </tableColumn>
    <tableColumn id="13" xr3:uid="{3F0101DC-99CE-4969-BD68-1A5AD1E35B2C}" name="Notes"/>
    <tableColumn id="14" xr3:uid="{6D841986-9BBA-4841-80FD-8086406E46AB}" name="Cycle Time_x000a_(Days)">
      <calculatedColumnFormula>IF(K2="", "", (K2 - I2 +1))</calculatedColumnFormula>
    </tableColumn>
    <tableColumn id="15" xr3:uid="{BC161949-D10B-4AC5-940A-63747626324E}" name="Forecast Accuracy (ETA)" dataDxfId="7">
      <calculatedColumnFormula>IF(K2="","", IF(J2="", "N/A", IF(K2 &gt; J2, "Late", IF(K2 &lt; J2, "Early", IF(K2 = J2, "On time", "")))))</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
  <sheetViews>
    <sheetView workbookViewId="0">
      <selection activeCell="I12" sqref="I12"/>
    </sheetView>
  </sheetViews>
  <sheetFormatPr defaultRowHeight="15" x14ac:dyDescent="0.25"/>
  <cols>
    <col min="1" max="1" width="19" customWidth="1"/>
    <col min="2" max="2" width="15.140625" customWidth="1"/>
    <col min="3" max="3" width="14.85546875" customWidth="1"/>
    <col min="4" max="4" width="12.5703125" customWidth="1"/>
    <col min="5" max="5" width="14.140625" customWidth="1"/>
    <col min="6" max="6" width="14.28515625" customWidth="1"/>
    <col min="7" max="7" width="46.140625" customWidth="1"/>
    <col min="8" max="8" width="16.140625" customWidth="1"/>
    <col min="9" max="9" width="18.5703125" customWidth="1"/>
    <col min="10" max="10" width="16" customWidth="1"/>
    <col min="11" max="11" width="15.7109375" customWidth="1"/>
    <col min="12" max="12" width="19.5703125" customWidth="1"/>
    <col min="13" max="13" width="31.140625" customWidth="1"/>
    <col min="14" max="14" width="12.28515625" customWidth="1"/>
    <col min="15" max="15" width="25" customWidth="1"/>
  </cols>
  <sheetData>
    <row r="1" spans="1:15" ht="30" x14ac:dyDescent="0.25">
      <c r="A1" s="16" t="s">
        <v>0</v>
      </c>
      <c r="B1" s="16" t="s">
        <v>1</v>
      </c>
      <c r="C1" s="17" t="s">
        <v>2</v>
      </c>
      <c r="D1" s="16" t="s">
        <v>3</v>
      </c>
      <c r="E1" s="16" t="s">
        <v>4</v>
      </c>
      <c r="F1" s="16" t="s">
        <v>5</v>
      </c>
      <c r="G1" s="16" t="s">
        <v>6</v>
      </c>
      <c r="H1" s="16" t="s">
        <v>7</v>
      </c>
      <c r="I1" s="16" t="s">
        <v>8</v>
      </c>
      <c r="J1" s="16" t="s">
        <v>9</v>
      </c>
      <c r="K1" s="16" t="s">
        <v>10</v>
      </c>
      <c r="L1" s="18" t="s">
        <v>11</v>
      </c>
      <c r="M1" s="16" t="s">
        <v>12</v>
      </c>
      <c r="N1" s="19" t="s">
        <v>13</v>
      </c>
      <c r="O1" s="16" t="s">
        <v>14</v>
      </c>
    </row>
    <row r="2" spans="1:15" x14ac:dyDescent="0.25">
      <c r="A2" t="s">
        <v>15</v>
      </c>
      <c r="B2" t="s">
        <v>16</v>
      </c>
      <c r="C2" t="s">
        <v>17</v>
      </c>
      <c r="D2" t="s">
        <v>18</v>
      </c>
      <c r="E2" t="s">
        <v>19</v>
      </c>
      <c r="F2" t="s">
        <v>20</v>
      </c>
      <c r="G2" t="s">
        <v>21</v>
      </c>
      <c r="H2" t="s">
        <v>22</v>
      </c>
      <c r="L2" s="1" t="str">
        <f t="shared" ref="L2:L66" si="0">IF(K2="","",IF(AND(K2&gt;=DATE(2025,10,21),K2&lt;=DATE(2025,10,21)),"PI-3 Sprint 6",IF(AND(K2&gt;=DATE(2025,10,22),K2&lt;=DATE(2025,11,4)),"Sprint 1",IF(AND(K2&gt;=DATE(2025,11,5),K2&lt;=DATE(2025,11,18)),"Sprint 2",IF(AND(K2&gt;=DATE(2025,11,19),K2&lt;=DATE(2025,12,2)),"Sprint 3",IF(AND(K2&gt;=DATE(2025,12,3),K2&lt;=DATE(2025,12,16)),"Sprint 4",IF(AND(K2&gt;=DATE(2025,12,17),K2&lt;=DATE(2025,12,30)),"Sprint 5",IF(AND(K2&gt;=DATE(2025,12,31),K2&lt;=DATE(2026,1,20)),"Sprint 6","N/A"))))))))</f>
        <v/>
      </c>
      <c r="M2" t="s">
        <v>23</v>
      </c>
      <c r="N2" t="str">
        <f>IF(K2="", "", (K2 - I2 +1))</f>
        <v/>
      </c>
      <c r="O2" s="1" t="str">
        <f>IF(K2="","", IF(J2="", "N/A", IF(K2 &gt; J2, "Late", IF(K2 &lt; J2, "Early", IF(K2 = J2, "On time", "")))))</f>
        <v/>
      </c>
    </row>
    <row r="3" spans="1:15" x14ac:dyDescent="0.25">
      <c r="A3" t="s">
        <v>15</v>
      </c>
      <c r="B3" t="s">
        <v>16</v>
      </c>
      <c r="C3" t="s">
        <v>24</v>
      </c>
      <c r="D3" t="s">
        <v>25</v>
      </c>
      <c r="E3" t="s">
        <v>26</v>
      </c>
      <c r="F3" t="s">
        <v>27</v>
      </c>
      <c r="G3" t="s">
        <v>28</v>
      </c>
      <c r="H3" t="s">
        <v>29</v>
      </c>
      <c r="I3" s="4">
        <v>45952</v>
      </c>
      <c r="J3" s="4">
        <v>45966</v>
      </c>
      <c r="K3" s="4">
        <v>45967</v>
      </c>
      <c r="L3" s="1" t="str">
        <f t="shared" si="0"/>
        <v>Sprint 2</v>
      </c>
      <c r="N3">
        <f>IF(K3="", "", (K3 - I3 +1))</f>
        <v>16</v>
      </c>
      <c r="O3" s="1" t="str">
        <f t="shared" ref="O3:O66" si="1">IF(K3="","", IF(J3="", "N/A", IF(K3 &gt; J3, "Late", IF(K3 &lt; J3, "Early", IF(K3 = J3, "On time", "")))))</f>
        <v>Late</v>
      </c>
    </row>
    <row r="4" spans="1:15" x14ac:dyDescent="0.25">
      <c r="A4" t="s">
        <v>15</v>
      </c>
      <c r="B4" t="s">
        <v>16</v>
      </c>
      <c r="C4" t="s">
        <v>30</v>
      </c>
      <c r="D4" t="s">
        <v>25</v>
      </c>
      <c r="E4" t="s">
        <v>31</v>
      </c>
      <c r="F4" t="s">
        <v>32</v>
      </c>
      <c r="G4" t="s">
        <v>33</v>
      </c>
      <c r="H4" t="s">
        <v>29</v>
      </c>
      <c r="I4" s="4">
        <v>45953</v>
      </c>
      <c r="J4" s="4">
        <v>45965</v>
      </c>
      <c r="K4" s="4">
        <v>45965</v>
      </c>
      <c r="L4" s="1" t="str">
        <f t="shared" si="0"/>
        <v>Sprint 1</v>
      </c>
      <c r="N4">
        <f t="shared" ref="N4:N66" si="2">IF(K4="", "", (K4 - I4 +1))</f>
        <v>13</v>
      </c>
      <c r="O4" s="1" t="str">
        <f t="shared" si="1"/>
        <v>On time</v>
      </c>
    </row>
    <row r="5" spans="1:15" x14ac:dyDescent="0.25">
      <c r="A5" t="s">
        <v>15</v>
      </c>
      <c r="B5" t="s">
        <v>16</v>
      </c>
      <c r="C5" t="s">
        <v>34</v>
      </c>
      <c r="D5" t="s">
        <v>25</v>
      </c>
      <c r="E5" t="s">
        <v>35</v>
      </c>
      <c r="F5" t="s">
        <v>36</v>
      </c>
      <c r="G5" t="s">
        <v>37</v>
      </c>
      <c r="H5" t="s">
        <v>29</v>
      </c>
      <c r="I5" s="4">
        <v>45952</v>
      </c>
      <c r="J5" s="4">
        <v>45966</v>
      </c>
      <c r="K5" s="4">
        <v>45966</v>
      </c>
      <c r="L5" s="1" t="str">
        <f t="shared" si="0"/>
        <v>Sprint 2</v>
      </c>
      <c r="M5" t="s">
        <v>23</v>
      </c>
      <c r="N5">
        <f t="shared" si="2"/>
        <v>15</v>
      </c>
      <c r="O5" s="1" t="str">
        <f t="shared" si="1"/>
        <v>On time</v>
      </c>
    </row>
    <row r="6" spans="1:15" x14ac:dyDescent="0.25">
      <c r="A6" t="s">
        <v>15</v>
      </c>
      <c r="B6" t="s">
        <v>16</v>
      </c>
      <c r="C6" t="s">
        <v>38</v>
      </c>
      <c r="D6" t="s">
        <v>25</v>
      </c>
      <c r="E6" t="s">
        <v>26</v>
      </c>
      <c r="F6" t="s">
        <v>39</v>
      </c>
      <c r="G6" t="s">
        <v>40</v>
      </c>
      <c r="H6" t="s">
        <v>22</v>
      </c>
      <c r="I6" s="4"/>
      <c r="J6" s="4"/>
      <c r="L6" s="1" t="str">
        <f t="shared" si="0"/>
        <v/>
      </c>
      <c r="N6" t="str">
        <f t="shared" si="2"/>
        <v/>
      </c>
      <c r="O6" s="1" t="str">
        <f t="shared" si="1"/>
        <v/>
      </c>
    </row>
    <row r="7" spans="1:15" x14ac:dyDescent="0.25">
      <c r="A7" t="s">
        <v>15</v>
      </c>
      <c r="B7" t="s">
        <v>16</v>
      </c>
      <c r="C7" t="s">
        <v>34</v>
      </c>
      <c r="D7" t="s">
        <v>25</v>
      </c>
      <c r="E7" t="s">
        <v>19</v>
      </c>
      <c r="F7" t="s">
        <v>41</v>
      </c>
      <c r="G7" t="s">
        <v>42</v>
      </c>
      <c r="H7" t="s">
        <v>29</v>
      </c>
      <c r="I7" s="4">
        <v>45961</v>
      </c>
      <c r="J7" s="4">
        <v>45965</v>
      </c>
      <c r="K7" s="4">
        <v>45965</v>
      </c>
      <c r="L7" s="1" t="str">
        <f t="shared" si="0"/>
        <v>Sprint 1</v>
      </c>
      <c r="M7" t="s">
        <v>23</v>
      </c>
      <c r="N7">
        <f t="shared" si="2"/>
        <v>5</v>
      </c>
      <c r="O7" s="1" t="str">
        <f t="shared" si="1"/>
        <v>On time</v>
      </c>
    </row>
    <row r="8" spans="1:15" x14ac:dyDescent="0.25">
      <c r="A8" t="s">
        <v>15</v>
      </c>
      <c r="B8" t="s">
        <v>16</v>
      </c>
      <c r="C8" t="s">
        <v>38</v>
      </c>
      <c r="D8" t="s">
        <v>25</v>
      </c>
      <c r="E8" t="s">
        <v>31</v>
      </c>
      <c r="F8" t="s">
        <v>43</v>
      </c>
      <c r="G8" t="s">
        <v>44</v>
      </c>
      <c r="H8" t="s">
        <v>29</v>
      </c>
      <c r="I8" s="4">
        <v>45953</v>
      </c>
      <c r="J8" s="4">
        <v>45964</v>
      </c>
      <c r="K8" s="4">
        <v>45963</v>
      </c>
      <c r="L8" s="1" t="str">
        <f t="shared" si="0"/>
        <v>Sprint 1</v>
      </c>
      <c r="N8">
        <f t="shared" si="2"/>
        <v>11</v>
      </c>
      <c r="O8" s="1" t="str">
        <f t="shared" si="1"/>
        <v>Early</v>
      </c>
    </row>
    <row r="9" spans="1:15" x14ac:dyDescent="0.25">
      <c r="A9" t="s">
        <v>15</v>
      </c>
      <c r="B9" t="s">
        <v>16</v>
      </c>
      <c r="C9" t="s">
        <v>17</v>
      </c>
      <c r="D9" t="s">
        <v>18</v>
      </c>
      <c r="E9" t="s">
        <v>19</v>
      </c>
      <c r="F9" t="s">
        <v>45</v>
      </c>
      <c r="G9" t="s">
        <v>46</v>
      </c>
      <c r="H9" t="s">
        <v>29</v>
      </c>
      <c r="I9" s="4">
        <v>45955</v>
      </c>
      <c r="J9" s="4">
        <v>45960</v>
      </c>
      <c r="K9" s="4">
        <v>45960</v>
      </c>
      <c r="L9" s="1" t="str">
        <f t="shared" si="0"/>
        <v>Sprint 1</v>
      </c>
      <c r="N9">
        <f t="shared" si="2"/>
        <v>6</v>
      </c>
      <c r="O9" s="1" t="str">
        <f t="shared" si="1"/>
        <v>On time</v>
      </c>
    </row>
    <row r="10" spans="1:15" x14ac:dyDescent="0.25">
      <c r="A10" t="s">
        <v>15</v>
      </c>
      <c r="B10" t="s">
        <v>16</v>
      </c>
      <c r="C10" t="s">
        <v>30</v>
      </c>
      <c r="D10" t="s">
        <v>25</v>
      </c>
      <c r="E10" t="s">
        <v>35</v>
      </c>
      <c r="F10" t="s">
        <v>47</v>
      </c>
      <c r="G10" t="s">
        <v>48</v>
      </c>
      <c r="H10" t="s">
        <v>22</v>
      </c>
      <c r="I10" s="4"/>
      <c r="J10" s="4"/>
      <c r="L10" s="1" t="str">
        <f t="shared" si="0"/>
        <v/>
      </c>
      <c r="N10" t="str">
        <f t="shared" si="2"/>
        <v/>
      </c>
      <c r="O10" s="1" t="str">
        <f t="shared" si="1"/>
        <v/>
      </c>
    </row>
    <row r="11" spans="1:15" x14ac:dyDescent="0.25">
      <c r="A11" t="s">
        <v>15</v>
      </c>
      <c r="B11" t="s">
        <v>16</v>
      </c>
      <c r="C11" t="s">
        <v>24</v>
      </c>
      <c r="D11" t="s">
        <v>25</v>
      </c>
      <c r="E11" t="s">
        <v>26</v>
      </c>
      <c r="F11" t="s">
        <v>49</v>
      </c>
      <c r="G11" t="s">
        <v>50</v>
      </c>
      <c r="H11" t="s">
        <v>29</v>
      </c>
      <c r="I11" s="4">
        <v>45952</v>
      </c>
      <c r="J11" s="4">
        <v>45963</v>
      </c>
      <c r="K11" s="4">
        <v>45963</v>
      </c>
      <c r="L11" s="1" t="str">
        <f t="shared" si="0"/>
        <v>Sprint 1</v>
      </c>
      <c r="M11" t="s">
        <v>23</v>
      </c>
      <c r="N11">
        <f t="shared" si="2"/>
        <v>12</v>
      </c>
      <c r="O11" s="1" t="str">
        <f t="shared" si="1"/>
        <v>On time</v>
      </c>
    </row>
    <row r="12" spans="1:15" x14ac:dyDescent="0.25">
      <c r="A12" t="s">
        <v>15</v>
      </c>
      <c r="B12" t="s">
        <v>16</v>
      </c>
      <c r="C12" t="s">
        <v>30</v>
      </c>
      <c r="D12" t="s">
        <v>25</v>
      </c>
      <c r="E12" t="s">
        <v>31</v>
      </c>
      <c r="F12" t="s">
        <v>51</v>
      </c>
      <c r="G12" t="s">
        <v>52</v>
      </c>
      <c r="H12" t="s">
        <v>29</v>
      </c>
      <c r="I12" s="4">
        <v>45958</v>
      </c>
      <c r="J12" s="4">
        <v>45963</v>
      </c>
      <c r="K12" s="4">
        <v>45963</v>
      </c>
      <c r="L12" s="1" t="str">
        <f t="shared" si="0"/>
        <v>Sprint 1</v>
      </c>
      <c r="N12">
        <f t="shared" si="2"/>
        <v>6</v>
      </c>
      <c r="O12" s="1" t="str">
        <f t="shared" si="1"/>
        <v>On time</v>
      </c>
    </row>
    <row r="13" spans="1:15" x14ac:dyDescent="0.25">
      <c r="A13" t="s">
        <v>15</v>
      </c>
      <c r="B13" t="s">
        <v>16</v>
      </c>
      <c r="C13" t="s">
        <v>17</v>
      </c>
      <c r="D13" t="s">
        <v>25</v>
      </c>
      <c r="E13" t="s">
        <v>19</v>
      </c>
      <c r="F13" t="s">
        <v>53</v>
      </c>
      <c r="G13" t="s">
        <v>54</v>
      </c>
      <c r="H13" t="s">
        <v>55</v>
      </c>
      <c r="I13" s="4">
        <v>45959</v>
      </c>
      <c r="J13" s="4">
        <v>45975</v>
      </c>
      <c r="L13" s="1" t="str">
        <f t="shared" si="0"/>
        <v/>
      </c>
      <c r="M13" t="s">
        <v>56</v>
      </c>
      <c r="N13" t="str">
        <f t="shared" si="2"/>
        <v/>
      </c>
      <c r="O13" s="1" t="str">
        <f t="shared" si="1"/>
        <v/>
      </c>
    </row>
    <row r="14" spans="1:15" x14ac:dyDescent="0.25">
      <c r="A14" t="s">
        <v>15</v>
      </c>
      <c r="B14" t="s">
        <v>57</v>
      </c>
      <c r="C14" t="s">
        <v>38</v>
      </c>
      <c r="D14" t="s">
        <v>18</v>
      </c>
      <c r="E14" t="s">
        <v>26</v>
      </c>
      <c r="F14" t="s">
        <v>58</v>
      </c>
      <c r="G14" t="s">
        <v>59</v>
      </c>
      <c r="H14" t="s">
        <v>29</v>
      </c>
      <c r="I14" s="4">
        <v>45960</v>
      </c>
      <c r="J14" s="4">
        <v>45979</v>
      </c>
      <c r="K14" s="4">
        <v>45976</v>
      </c>
      <c r="L14" s="1" t="str">
        <f t="shared" si="0"/>
        <v>Sprint 2</v>
      </c>
      <c r="N14">
        <f t="shared" si="2"/>
        <v>17</v>
      </c>
      <c r="O14" s="1" t="str">
        <f t="shared" si="1"/>
        <v>Early</v>
      </c>
    </row>
    <row r="15" spans="1:15" x14ac:dyDescent="0.25">
      <c r="A15" t="s">
        <v>15</v>
      </c>
      <c r="B15" t="s">
        <v>57</v>
      </c>
      <c r="C15" t="s">
        <v>24</v>
      </c>
      <c r="D15" t="s">
        <v>18</v>
      </c>
      <c r="E15" t="s">
        <v>35</v>
      </c>
      <c r="F15" t="s">
        <v>60</v>
      </c>
      <c r="G15" t="s">
        <v>61</v>
      </c>
      <c r="H15" t="s">
        <v>29</v>
      </c>
      <c r="I15" s="4">
        <v>45961</v>
      </c>
      <c r="J15" s="4">
        <v>45980</v>
      </c>
      <c r="K15" s="4">
        <v>45980</v>
      </c>
      <c r="L15" s="1" t="str">
        <f t="shared" si="0"/>
        <v>Sprint 3</v>
      </c>
      <c r="N15">
        <f t="shared" si="2"/>
        <v>20</v>
      </c>
      <c r="O15" s="1" t="str">
        <f t="shared" si="1"/>
        <v>On time</v>
      </c>
    </row>
    <row r="16" spans="1:15" x14ac:dyDescent="0.25">
      <c r="A16" t="s">
        <v>15</v>
      </c>
      <c r="B16" t="s">
        <v>16</v>
      </c>
      <c r="C16" t="s">
        <v>34</v>
      </c>
      <c r="D16" t="s">
        <v>25</v>
      </c>
      <c r="E16" t="s">
        <v>31</v>
      </c>
      <c r="F16" t="s">
        <v>62</v>
      </c>
      <c r="G16" t="s">
        <v>63</v>
      </c>
      <c r="H16" t="s">
        <v>22</v>
      </c>
      <c r="L16" s="1" t="str">
        <f t="shared" si="0"/>
        <v/>
      </c>
      <c r="M16" t="s">
        <v>23</v>
      </c>
      <c r="N16" t="str">
        <f t="shared" si="2"/>
        <v/>
      </c>
      <c r="O16" s="1" t="str">
        <f t="shared" si="1"/>
        <v/>
      </c>
    </row>
    <row r="17" spans="1:15" x14ac:dyDescent="0.25">
      <c r="A17" t="s">
        <v>15</v>
      </c>
      <c r="B17" t="s">
        <v>16</v>
      </c>
      <c r="C17" t="s">
        <v>38</v>
      </c>
      <c r="D17" t="s">
        <v>18</v>
      </c>
      <c r="E17" t="s">
        <v>19</v>
      </c>
      <c r="F17" t="s">
        <v>64</v>
      </c>
      <c r="G17" t="s">
        <v>65</v>
      </c>
      <c r="H17" t="s">
        <v>29</v>
      </c>
      <c r="I17" s="4">
        <v>45964</v>
      </c>
      <c r="J17" s="4">
        <v>45981</v>
      </c>
      <c r="K17" s="4">
        <v>45981</v>
      </c>
      <c r="L17" s="1" t="str">
        <f t="shared" si="0"/>
        <v>Sprint 3</v>
      </c>
      <c r="N17">
        <f t="shared" si="2"/>
        <v>18</v>
      </c>
      <c r="O17" s="1" t="str">
        <f t="shared" si="1"/>
        <v>On time</v>
      </c>
    </row>
    <row r="18" spans="1:15" x14ac:dyDescent="0.25">
      <c r="A18" t="s">
        <v>15</v>
      </c>
      <c r="B18" t="s">
        <v>16</v>
      </c>
      <c r="C18" t="s">
        <v>34</v>
      </c>
      <c r="D18" t="s">
        <v>25</v>
      </c>
      <c r="E18" t="s">
        <v>26</v>
      </c>
      <c r="F18" t="s">
        <v>66</v>
      </c>
      <c r="G18" t="s">
        <v>67</v>
      </c>
      <c r="H18" t="s">
        <v>29</v>
      </c>
      <c r="I18" s="4">
        <v>45965</v>
      </c>
      <c r="J18" s="4">
        <v>45973</v>
      </c>
      <c r="K18" s="4">
        <v>45973</v>
      </c>
      <c r="L18" s="1" t="str">
        <f t="shared" si="0"/>
        <v>Sprint 2</v>
      </c>
      <c r="N18">
        <f t="shared" si="2"/>
        <v>9</v>
      </c>
      <c r="O18" s="1" t="str">
        <f t="shared" si="1"/>
        <v>On time</v>
      </c>
    </row>
    <row r="19" spans="1:15" x14ac:dyDescent="0.25">
      <c r="A19" t="s">
        <v>15</v>
      </c>
      <c r="B19" t="s">
        <v>16</v>
      </c>
      <c r="C19" t="s">
        <v>24</v>
      </c>
      <c r="D19" t="s">
        <v>18</v>
      </c>
      <c r="E19" t="s">
        <v>26</v>
      </c>
      <c r="F19" t="s">
        <v>68</v>
      </c>
      <c r="G19" t="s">
        <v>69</v>
      </c>
      <c r="H19" t="s">
        <v>29</v>
      </c>
      <c r="I19" s="4">
        <v>45964</v>
      </c>
      <c r="J19" s="4">
        <v>45981</v>
      </c>
      <c r="K19" s="4">
        <v>45981</v>
      </c>
      <c r="L19" s="1" t="str">
        <f t="shared" si="0"/>
        <v>Sprint 3</v>
      </c>
      <c r="M19" t="s">
        <v>23</v>
      </c>
      <c r="N19">
        <f t="shared" si="2"/>
        <v>18</v>
      </c>
      <c r="O19" s="1" t="str">
        <f t="shared" si="1"/>
        <v>On time</v>
      </c>
    </row>
    <row r="20" spans="1:15" x14ac:dyDescent="0.25">
      <c r="A20" t="s">
        <v>15</v>
      </c>
      <c r="B20" t="s">
        <v>16</v>
      </c>
      <c r="C20" t="s">
        <v>17</v>
      </c>
      <c r="D20" t="s">
        <v>18</v>
      </c>
      <c r="E20" t="s">
        <v>35</v>
      </c>
      <c r="F20" t="s">
        <v>70</v>
      </c>
      <c r="G20" t="s">
        <v>71</v>
      </c>
      <c r="H20" t="s">
        <v>22</v>
      </c>
      <c r="I20" s="4"/>
      <c r="J20" s="4"/>
      <c r="L20" s="1" t="str">
        <f t="shared" si="0"/>
        <v/>
      </c>
      <c r="N20" t="str">
        <f t="shared" si="2"/>
        <v/>
      </c>
      <c r="O20" s="1" t="str">
        <f t="shared" si="1"/>
        <v/>
      </c>
    </row>
    <row r="21" spans="1:15" x14ac:dyDescent="0.25">
      <c r="A21" t="s">
        <v>15</v>
      </c>
      <c r="B21" t="s">
        <v>16</v>
      </c>
      <c r="C21" t="s">
        <v>30</v>
      </c>
      <c r="D21" t="s">
        <v>25</v>
      </c>
      <c r="E21" t="s">
        <v>31</v>
      </c>
      <c r="F21" t="s">
        <v>72</v>
      </c>
      <c r="G21" t="s">
        <v>73</v>
      </c>
      <c r="H21" t="s">
        <v>29</v>
      </c>
      <c r="I21" s="4">
        <v>45967</v>
      </c>
      <c r="J21" s="4">
        <v>45987</v>
      </c>
      <c r="K21" s="4">
        <v>45987</v>
      </c>
      <c r="L21" s="1" t="str">
        <f t="shared" si="0"/>
        <v>Sprint 3</v>
      </c>
      <c r="N21">
        <f t="shared" si="2"/>
        <v>21</v>
      </c>
      <c r="O21" s="1" t="str">
        <f t="shared" si="1"/>
        <v>On time</v>
      </c>
    </row>
    <row r="22" spans="1:15" x14ac:dyDescent="0.25">
      <c r="A22" t="s">
        <v>15</v>
      </c>
      <c r="B22" t="s">
        <v>16</v>
      </c>
      <c r="C22" t="s">
        <v>24</v>
      </c>
      <c r="D22" t="s">
        <v>25</v>
      </c>
      <c r="E22" t="s">
        <v>19</v>
      </c>
      <c r="F22" t="s">
        <v>74</v>
      </c>
      <c r="G22" t="s">
        <v>75</v>
      </c>
      <c r="H22" t="s">
        <v>29</v>
      </c>
      <c r="I22" s="4">
        <v>45968</v>
      </c>
      <c r="J22" s="4">
        <v>45975</v>
      </c>
      <c r="K22" s="4">
        <v>45975</v>
      </c>
      <c r="L22" s="1" t="str">
        <f t="shared" si="0"/>
        <v>Sprint 2</v>
      </c>
      <c r="N22">
        <f t="shared" si="2"/>
        <v>8</v>
      </c>
      <c r="O22" s="1" t="str">
        <f t="shared" si="1"/>
        <v>On time</v>
      </c>
    </row>
    <row r="23" spans="1:15" x14ac:dyDescent="0.25">
      <c r="A23" t="s">
        <v>15</v>
      </c>
      <c r="B23" t="s">
        <v>16</v>
      </c>
      <c r="C23" t="s">
        <v>17</v>
      </c>
      <c r="D23" t="s">
        <v>25</v>
      </c>
      <c r="E23" t="s">
        <v>35</v>
      </c>
      <c r="F23" t="s">
        <v>76</v>
      </c>
      <c r="G23" t="s">
        <v>77</v>
      </c>
      <c r="H23" t="s">
        <v>29</v>
      </c>
      <c r="I23" s="4">
        <v>45955</v>
      </c>
      <c r="J23" s="4">
        <v>45965</v>
      </c>
      <c r="K23" s="4">
        <v>45965</v>
      </c>
      <c r="L23" s="1" t="str">
        <f t="shared" si="0"/>
        <v>Sprint 1</v>
      </c>
      <c r="M23" t="s">
        <v>23</v>
      </c>
      <c r="N23">
        <f t="shared" si="2"/>
        <v>11</v>
      </c>
      <c r="O23" s="1" t="str">
        <f t="shared" si="1"/>
        <v>On time</v>
      </c>
    </row>
    <row r="24" spans="1:15" x14ac:dyDescent="0.25">
      <c r="A24" t="s">
        <v>15</v>
      </c>
      <c r="B24" t="s">
        <v>16</v>
      </c>
      <c r="C24" t="s">
        <v>30</v>
      </c>
      <c r="D24" t="s">
        <v>25</v>
      </c>
      <c r="E24" t="s">
        <v>26</v>
      </c>
      <c r="F24" t="s">
        <v>78</v>
      </c>
      <c r="G24" t="s">
        <v>79</v>
      </c>
      <c r="H24" t="s">
        <v>22</v>
      </c>
      <c r="I24" s="4"/>
      <c r="J24" s="4"/>
      <c r="K24" s="4"/>
      <c r="L24" s="1" t="str">
        <f t="shared" si="0"/>
        <v/>
      </c>
      <c r="N24" t="str">
        <f t="shared" si="2"/>
        <v/>
      </c>
      <c r="O24" s="1" t="str">
        <f t="shared" si="1"/>
        <v/>
      </c>
    </row>
    <row r="25" spans="1:15" x14ac:dyDescent="0.25">
      <c r="A25" t="s">
        <v>15</v>
      </c>
      <c r="B25" t="s">
        <v>16</v>
      </c>
      <c r="C25" t="s">
        <v>34</v>
      </c>
      <c r="D25" t="s">
        <v>18</v>
      </c>
      <c r="E25" t="s">
        <v>31</v>
      </c>
      <c r="F25" t="s">
        <v>80</v>
      </c>
      <c r="G25" t="s">
        <v>81</v>
      </c>
      <c r="H25" t="s">
        <v>29</v>
      </c>
      <c r="I25" s="4">
        <v>45969</v>
      </c>
      <c r="J25" s="4">
        <v>45969</v>
      </c>
      <c r="K25" s="4">
        <v>45969</v>
      </c>
      <c r="L25" s="1" t="str">
        <f t="shared" si="0"/>
        <v>Sprint 2</v>
      </c>
      <c r="N25">
        <f t="shared" si="2"/>
        <v>1</v>
      </c>
      <c r="O25" s="1" t="str">
        <f t="shared" si="1"/>
        <v>On time</v>
      </c>
    </row>
    <row r="26" spans="1:15" x14ac:dyDescent="0.25">
      <c r="A26" t="s">
        <v>15</v>
      </c>
      <c r="B26" t="s">
        <v>16</v>
      </c>
      <c r="C26" t="s">
        <v>38</v>
      </c>
      <c r="D26" t="s">
        <v>18</v>
      </c>
      <c r="E26" t="s">
        <v>19</v>
      </c>
      <c r="F26" t="s">
        <v>82</v>
      </c>
      <c r="G26" t="s">
        <v>83</v>
      </c>
      <c r="H26" t="s">
        <v>84</v>
      </c>
      <c r="I26" s="4">
        <v>45967</v>
      </c>
      <c r="J26" s="4">
        <v>45987</v>
      </c>
      <c r="L26" s="1" t="str">
        <f t="shared" si="0"/>
        <v/>
      </c>
      <c r="M26" t="s">
        <v>23</v>
      </c>
      <c r="N26" t="str">
        <f t="shared" si="2"/>
        <v/>
      </c>
      <c r="O26" s="1" t="str">
        <f t="shared" si="1"/>
        <v/>
      </c>
    </row>
    <row r="27" spans="1:15" x14ac:dyDescent="0.25">
      <c r="A27" t="s">
        <v>15</v>
      </c>
      <c r="B27" t="s">
        <v>16</v>
      </c>
      <c r="C27" t="s">
        <v>34</v>
      </c>
      <c r="D27" t="s">
        <v>25</v>
      </c>
      <c r="E27" t="s">
        <v>26</v>
      </c>
      <c r="F27" t="s">
        <v>85</v>
      </c>
      <c r="G27" t="s">
        <v>86</v>
      </c>
      <c r="H27" t="s">
        <v>84</v>
      </c>
      <c r="I27" s="4">
        <v>45973</v>
      </c>
      <c r="J27" s="4">
        <v>45995</v>
      </c>
      <c r="K27" s="4"/>
      <c r="L27" s="1" t="str">
        <f t="shared" si="0"/>
        <v/>
      </c>
      <c r="N27" t="str">
        <f t="shared" si="2"/>
        <v/>
      </c>
      <c r="O27" s="1" t="str">
        <f t="shared" si="1"/>
        <v/>
      </c>
    </row>
    <row r="28" spans="1:15" x14ac:dyDescent="0.25">
      <c r="A28" t="s">
        <v>15</v>
      </c>
      <c r="B28" t="s">
        <v>16</v>
      </c>
      <c r="C28" t="s">
        <v>30</v>
      </c>
      <c r="D28" t="s">
        <v>25</v>
      </c>
      <c r="E28" t="s">
        <v>35</v>
      </c>
      <c r="F28" t="s">
        <v>87</v>
      </c>
      <c r="G28" t="s">
        <v>88</v>
      </c>
      <c r="H28" t="s">
        <v>22</v>
      </c>
      <c r="I28" s="4"/>
      <c r="J28" s="4"/>
      <c r="L28" s="1" t="str">
        <f t="shared" si="0"/>
        <v/>
      </c>
      <c r="N28" t="str">
        <f t="shared" si="2"/>
        <v/>
      </c>
      <c r="O28" s="1" t="str">
        <f t="shared" si="1"/>
        <v/>
      </c>
    </row>
    <row r="29" spans="1:15" x14ac:dyDescent="0.25">
      <c r="A29" t="s">
        <v>15</v>
      </c>
      <c r="B29" t="s">
        <v>16</v>
      </c>
      <c r="C29" t="s">
        <v>24</v>
      </c>
      <c r="D29" t="s">
        <v>18</v>
      </c>
      <c r="E29" t="s">
        <v>31</v>
      </c>
      <c r="F29" t="s">
        <v>89</v>
      </c>
      <c r="G29" t="s">
        <v>90</v>
      </c>
      <c r="H29" t="s">
        <v>29</v>
      </c>
      <c r="I29" s="4">
        <v>45975</v>
      </c>
      <c r="J29" s="4">
        <v>46000</v>
      </c>
      <c r="K29" s="4">
        <v>46000</v>
      </c>
      <c r="L29" s="1" t="str">
        <f t="shared" si="0"/>
        <v>Sprint 4</v>
      </c>
      <c r="N29">
        <f t="shared" si="2"/>
        <v>26</v>
      </c>
      <c r="O29" s="1" t="str">
        <f t="shared" si="1"/>
        <v>On time</v>
      </c>
    </row>
    <row r="30" spans="1:15" x14ac:dyDescent="0.25">
      <c r="A30" t="s">
        <v>15</v>
      </c>
      <c r="B30" t="s">
        <v>16</v>
      </c>
      <c r="C30" t="s">
        <v>38</v>
      </c>
      <c r="D30" t="s">
        <v>25</v>
      </c>
      <c r="E30" t="s">
        <v>19</v>
      </c>
      <c r="F30" t="s">
        <v>91</v>
      </c>
      <c r="G30" t="s">
        <v>92</v>
      </c>
      <c r="H30" t="s">
        <v>29</v>
      </c>
      <c r="I30" s="4">
        <v>45973</v>
      </c>
      <c r="J30" s="4">
        <v>45995</v>
      </c>
      <c r="K30" s="4">
        <v>45995</v>
      </c>
      <c r="L30" s="1" t="str">
        <f t="shared" si="0"/>
        <v>Sprint 4</v>
      </c>
      <c r="M30" t="s">
        <v>23</v>
      </c>
      <c r="N30">
        <f t="shared" si="2"/>
        <v>23</v>
      </c>
      <c r="O30" s="1" t="str">
        <f t="shared" si="1"/>
        <v>On time</v>
      </c>
    </row>
    <row r="31" spans="1:15" x14ac:dyDescent="0.25">
      <c r="A31" t="s">
        <v>93</v>
      </c>
      <c r="B31" t="s">
        <v>57</v>
      </c>
      <c r="C31" t="s">
        <v>17</v>
      </c>
      <c r="D31" t="s">
        <v>25</v>
      </c>
      <c r="E31" t="s">
        <v>26</v>
      </c>
      <c r="F31" t="s">
        <v>94</v>
      </c>
      <c r="G31" t="s">
        <v>95</v>
      </c>
      <c r="H31" t="s">
        <v>84</v>
      </c>
      <c r="I31" s="4">
        <v>45978</v>
      </c>
      <c r="J31" s="4">
        <v>46001</v>
      </c>
      <c r="K31" s="4"/>
      <c r="L31" s="1" t="str">
        <f t="shared" si="0"/>
        <v/>
      </c>
      <c r="N31" t="str">
        <f t="shared" si="2"/>
        <v/>
      </c>
      <c r="O31" s="1" t="str">
        <f t="shared" si="1"/>
        <v/>
      </c>
    </row>
    <row r="32" spans="1:15" x14ac:dyDescent="0.25">
      <c r="A32" t="s">
        <v>93</v>
      </c>
      <c r="B32" t="s">
        <v>57</v>
      </c>
      <c r="C32" t="s">
        <v>38</v>
      </c>
      <c r="D32" t="s">
        <v>25</v>
      </c>
      <c r="E32" t="s">
        <v>31</v>
      </c>
      <c r="F32" t="s">
        <v>96</v>
      </c>
      <c r="G32" t="s">
        <v>97</v>
      </c>
      <c r="H32" t="s">
        <v>22</v>
      </c>
      <c r="L32" s="1" t="str">
        <f t="shared" si="0"/>
        <v/>
      </c>
      <c r="M32" t="s">
        <v>23</v>
      </c>
      <c r="N32" t="str">
        <f t="shared" si="2"/>
        <v/>
      </c>
      <c r="O32" s="1" t="str">
        <f t="shared" si="1"/>
        <v/>
      </c>
    </row>
    <row r="33" spans="1:15" x14ac:dyDescent="0.25">
      <c r="A33" t="s">
        <v>93</v>
      </c>
      <c r="B33" t="s">
        <v>57</v>
      </c>
      <c r="C33" t="s">
        <v>24</v>
      </c>
      <c r="D33" t="s">
        <v>18</v>
      </c>
      <c r="E33" t="s">
        <v>35</v>
      </c>
      <c r="F33" t="s">
        <v>98</v>
      </c>
      <c r="G33" t="s">
        <v>99</v>
      </c>
      <c r="H33" t="s">
        <v>29</v>
      </c>
      <c r="I33" s="4">
        <v>45992</v>
      </c>
      <c r="J33" s="4">
        <v>46002</v>
      </c>
      <c r="K33" s="4">
        <v>46003</v>
      </c>
      <c r="L33" s="1" t="str">
        <f t="shared" si="0"/>
        <v>Sprint 4</v>
      </c>
      <c r="N33">
        <f t="shared" si="2"/>
        <v>12</v>
      </c>
      <c r="O33" s="1" t="str">
        <f t="shared" si="1"/>
        <v>Late</v>
      </c>
    </row>
    <row r="34" spans="1:15" x14ac:dyDescent="0.25">
      <c r="A34" t="s">
        <v>93</v>
      </c>
      <c r="B34" t="s">
        <v>57</v>
      </c>
      <c r="C34" t="s">
        <v>17</v>
      </c>
      <c r="D34" t="s">
        <v>25</v>
      </c>
      <c r="E34" t="s">
        <v>19</v>
      </c>
      <c r="F34" t="s">
        <v>100</v>
      </c>
      <c r="G34" t="s">
        <v>101</v>
      </c>
      <c r="H34" t="s">
        <v>84</v>
      </c>
      <c r="I34" s="4">
        <v>45980</v>
      </c>
      <c r="J34" s="4">
        <v>46003</v>
      </c>
      <c r="K34" s="4"/>
      <c r="L34" s="1" t="str">
        <f t="shared" si="0"/>
        <v/>
      </c>
      <c r="N34" t="str">
        <f t="shared" si="2"/>
        <v/>
      </c>
      <c r="O34" s="1" t="str">
        <f t="shared" si="1"/>
        <v/>
      </c>
    </row>
    <row r="35" spans="1:15" x14ac:dyDescent="0.25">
      <c r="A35" t="s">
        <v>93</v>
      </c>
      <c r="B35" t="s">
        <v>57</v>
      </c>
      <c r="C35" t="s">
        <v>24</v>
      </c>
      <c r="D35" t="s">
        <v>25</v>
      </c>
      <c r="E35" t="s">
        <v>26</v>
      </c>
      <c r="F35" t="s">
        <v>102</v>
      </c>
      <c r="G35" t="s">
        <v>103</v>
      </c>
      <c r="H35" t="s">
        <v>22</v>
      </c>
      <c r="I35" s="4"/>
      <c r="J35" s="4"/>
      <c r="L35" s="1" t="str">
        <f t="shared" si="0"/>
        <v/>
      </c>
      <c r="N35" t="str">
        <f t="shared" si="2"/>
        <v/>
      </c>
      <c r="O35" s="1" t="str">
        <f t="shared" si="1"/>
        <v/>
      </c>
    </row>
    <row r="36" spans="1:15" x14ac:dyDescent="0.25">
      <c r="A36" t="s">
        <v>93</v>
      </c>
      <c r="B36" t="s">
        <v>57</v>
      </c>
      <c r="C36" t="s">
        <v>30</v>
      </c>
      <c r="D36" t="s">
        <v>18</v>
      </c>
      <c r="E36" t="s">
        <v>31</v>
      </c>
      <c r="F36" t="s">
        <v>104</v>
      </c>
      <c r="G36" t="s">
        <v>105</v>
      </c>
      <c r="H36" t="s">
        <v>84</v>
      </c>
      <c r="I36" s="4">
        <v>45980</v>
      </c>
      <c r="J36" s="4">
        <v>46003</v>
      </c>
      <c r="L36" s="1" t="str">
        <f t="shared" si="0"/>
        <v/>
      </c>
      <c r="M36" t="s">
        <v>23</v>
      </c>
      <c r="N36" t="str">
        <f t="shared" si="2"/>
        <v/>
      </c>
      <c r="O36" s="1" t="str">
        <f t="shared" si="1"/>
        <v/>
      </c>
    </row>
    <row r="37" spans="1:15" x14ac:dyDescent="0.25">
      <c r="A37" t="s">
        <v>93</v>
      </c>
      <c r="B37" t="s">
        <v>57</v>
      </c>
      <c r="C37" t="s">
        <v>34</v>
      </c>
      <c r="D37" t="s">
        <v>18</v>
      </c>
      <c r="E37" t="s">
        <v>19</v>
      </c>
      <c r="F37" t="s">
        <v>106</v>
      </c>
      <c r="G37" t="s">
        <v>107</v>
      </c>
      <c r="H37" t="s">
        <v>29</v>
      </c>
      <c r="I37" s="4">
        <v>45993</v>
      </c>
      <c r="J37" s="4">
        <v>46007</v>
      </c>
      <c r="K37" s="4">
        <v>46007</v>
      </c>
      <c r="L37" s="1" t="str">
        <f t="shared" si="0"/>
        <v>Sprint 4</v>
      </c>
      <c r="N37">
        <f t="shared" si="2"/>
        <v>15</v>
      </c>
      <c r="O37" s="1" t="str">
        <f t="shared" si="1"/>
        <v>On time</v>
      </c>
    </row>
    <row r="38" spans="1:15" x14ac:dyDescent="0.25">
      <c r="A38" t="s">
        <v>93</v>
      </c>
      <c r="B38" t="s">
        <v>57</v>
      </c>
      <c r="C38" t="s">
        <v>38</v>
      </c>
      <c r="D38" t="s">
        <v>25</v>
      </c>
      <c r="E38" t="s">
        <v>35</v>
      </c>
      <c r="F38" t="s">
        <v>108</v>
      </c>
      <c r="G38" t="s">
        <v>109</v>
      </c>
      <c r="H38" t="s">
        <v>84</v>
      </c>
      <c r="I38" s="4">
        <v>45985</v>
      </c>
      <c r="J38" s="4">
        <v>46008</v>
      </c>
      <c r="L38" s="1" t="str">
        <f t="shared" si="0"/>
        <v/>
      </c>
      <c r="N38" t="str">
        <f t="shared" si="2"/>
        <v/>
      </c>
      <c r="O38" s="1" t="str">
        <f t="shared" si="1"/>
        <v/>
      </c>
    </row>
    <row r="39" spans="1:15" x14ac:dyDescent="0.25">
      <c r="A39" t="s">
        <v>93</v>
      </c>
      <c r="B39" t="s">
        <v>57</v>
      </c>
      <c r="C39" t="s">
        <v>34</v>
      </c>
      <c r="D39" t="s">
        <v>18</v>
      </c>
      <c r="E39" t="s">
        <v>26</v>
      </c>
      <c r="F39" t="s">
        <v>110</v>
      </c>
      <c r="G39" t="s">
        <v>111</v>
      </c>
      <c r="H39" t="s">
        <v>22</v>
      </c>
      <c r="I39" s="4"/>
      <c r="J39" s="4"/>
      <c r="L39" s="1" t="str">
        <f t="shared" si="0"/>
        <v/>
      </c>
      <c r="N39" t="str">
        <f t="shared" si="2"/>
        <v/>
      </c>
      <c r="O39" s="1" t="str">
        <f t="shared" si="1"/>
        <v/>
      </c>
    </row>
    <row r="40" spans="1:15" x14ac:dyDescent="0.25">
      <c r="A40" t="s">
        <v>93</v>
      </c>
      <c r="B40" t="s">
        <v>57</v>
      </c>
      <c r="C40" t="s">
        <v>38</v>
      </c>
      <c r="D40" t="s">
        <v>25</v>
      </c>
      <c r="E40" t="s">
        <v>31</v>
      </c>
      <c r="F40" t="s">
        <v>112</v>
      </c>
      <c r="G40" t="s">
        <v>113</v>
      </c>
      <c r="H40" t="s">
        <v>29</v>
      </c>
      <c r="I40" s="4">
        <v>46003</v>
      </c>
      <c r="J40" s="4">
        <v>46007</v>
      </c>
      <c r="K40" s="4">
        <v>46007</v>
      </c>
      <c r="L40" s="1" t="str">
        <f t="shared" si="0"/>
        <v>Sprint 4</v>
      </c>
      <c r="M40" t="s">
        <v>23</v>
      </c>
      <c r="N40">
        <f t="shared" si="2"/>
        <v>5</v>
      </c>
      <c r="O40" s="1" t="str">
        <f t="shared" si="1"/>
        <v>On time</v>
      </c>
    </row>
    <row r="41" spans="1:15" x14ac:dyDescent="0.25">
      <c r="A41" t="s">
        <v>93</v>
      </c>
      <c r="B41" t="s">
        <v>57</v>
      </c>
      <c r="C41" t="s">
        <v>17</v>
      </c>
      <c r="D41" t="s">
        <v>18</v>
      </c>
      <c r="E41" t="s">
        <v>19</v>
      </c>
      <c r="F41" t="s">
        <v>114</v>
      </c>
      <c r="G41" t="s">
        <v>115</v>
      </c>
      <c r="H41" t="s">
        <v>84</v>
      </c>
      <c r="I41" s="4">
        <v>45987</v>
      </c>
      <c r="J41" s="4">
        <v>46010</v>
      </c>
      <c r="K41" s="4"/>
      <c r="L41" s="1" t="str">
        <f t="shared" si="0"/>
        <v/>
      </c>
      <c r="N41" t="str">
        <f t="shared" si="2"/>
        <v/>
      </c>
      <c r="O41" s="1" t="str">
        <f t="shared" si="1"/>
        <v/>
      </c>
    </row>
    <row r="42" spans="1:15" x14ac:dyDescent="0.25">
      <c r="A42" t="s">
        <v>93</v>
      </c>
      <c r="B42" t="s">
        <v>57</v>
      </c>
      <c r="C42" t="s">
        <v>30</v>
      </c>
      <c r="D42" t="s">
        <v>18</v>
      </c>
      <c r="E42" t="s">
        <v>26</v>
      </c>
      <c r="F42" t="s">
        <v>116</v>
      </c>
      <c r="G42" t="s">
        <v>117</v>
      </c>
      <c r="H42" t="s">
        <v>29</v>
      </c>
      <c r="I42" s="4">
        <v>46002</v>
      </c>
      <c r="J42" s="4">
        <v>46010</v>
      </c>
      <c r="K42" s="4">
        <v>46010</v>
      </c>
      <c r="L42" s="1" t="str">
        <f t="shared" si="0"/>
        <v>Sprint 5</v>
      </c>
      <c r="M42" t="s">
        <v>23</v>
      </c>
      <c r="N42">
        <f t="shared" si="2"/>
        <v>9</v>
      </c>
      <c r="O42" s="1" t="str">
        <f t="shared" si="1"/>
        <v>On time</v>
      </c>
    </row>
    <row r="43" spans="1:15" x14ac:dyDescent="0.25">
      <c r="A43" t="s">
        <v>93</v>
      </c>
      <c r="B43" t="s">
        <v>57</v>
      </c>
      <c r="C43" t="s">
        <v>24</v>
      </c>
      <c r="D43" t="s">
        <v>25</v>
      </c>
      <c r="E43" t="s">
        <v>35</v>
      </c>
      <c r="F43" t="s">
        <v>118</v>
      </c>
      <c r="G43" t="s">
        <v>119</v>
      </c>
      <c r="H43" t="s">
        <v>22</v>
      </c>
      <c r="I43" s="4"/>
      <c r="J43" s="4"/>
      <c r="L43" s="1" t="str">
        <f t="shared" si="0"/>
        <v/>
      </c>
      <c r="N43" t="str">
        <f t="shared" si="2"/>
        <v/>
      </c>
      <c r="O43" s="1" t="str">
        <f t="shared" si="1"/>
        <v/>
      </c>
    </row>
    <row r="44" spans="1:15" x14ac:dyDescent="0.25">
      <c r="A44" t="s">
        <v>93</v>
      </c>
      <c r="B44" t="s">
        <v>57</v>
      </c>
      <c r="C44" t="s">
        <v>30</v>
      </c>
      <c r="D44" t="s">
        <v>25</v>
      </c>
      <c r="E44" t="s">
        <v>31</v>
      </c>
      <c r="F44" t="s">
        <v>120</v>
      </c>
      <c r="G44" t="s">
        <v>121</v>
      </c>
      <c r="H44" t="s">
        <v>29</v>
      </c>
      <c r="I44" s="4">
        <v>46011</v>
      </c>
      <c r="J44" s="4">
        <v>46014</v>
      </c>
      <c r="K44" s="4">
        <v>46014</v>
      </c>
      <c r="L44" s="1" t="str">
        <f t="shared" si="0"/>
        <v>Sprint 5</v>
      </c>
      <c r="N44">
        <f t="shared" si="2"/>
        <v>4</v>
      </c>
      <c r="O44" s="1" t="str">
        <f t="shared" si="1"/>
        <v>On time</v>
      </c>
    </row>
    <row r="45" spans="1:15" x14ac:dyDescent="0.25">
      <c r="A45" t="s">
        <v>93</v>
      </c>
      <c r="B45" t="s">
        <v>57</v>
      </c>
      <c r="C45" t="s">
        <v>17</v>
      </c>
      <c r="D45" t="s">
        <v>25</v>
      </c>
      <c r="E45" t="s">
        <v>19</v>
      </c>
      <c r="F45" t="s">
        <v>122</v>
      </c>
      <c r="G45" t="s">
        <v>123</v>
      </c>
      <c r="H45" t="s">
        <v>84</v>
      </c>
      <c r="I45" s="4">
        <v>45990</v>
      </c>
      <c r="J45" s="4">
        <v>46015</v>
      </c>
      <c r="L45" s="1" t="str">
        <f t="shared" si="0"/>
        <v/>
      </c>
      <c r="N45" t="str">
        <f t="shared" si="2"/>
        <v/>
      </c>
      <c r="O45" s="1" t="str">
        <f t="shared" si="1"/>
        <v/>
      </c>
    </row>
    <row r="46" spans="1:15" x14ac:dyDescent="0.25">
      <c r="A46" t="s">
        <v>93</v>
      </c>
      <c r="B46" t="s">
        <v>57</v>
      </c>
      <c r="C46" t="s">
        <v>38</v>
      </c>
      <c r="D46" t="s">
        <v>25</v>
      </c>
      <c r="E46" t="s">
        <v>26</v>
      </c>
      <c r="F46" t="s">
        <v>124</v>
      </c>
      <c r="G46" t="s">
        <v>125</v>
      </c>
      <c r="H46" t="s">
        <v>22</v>
      </c>
      <c r="L46" s="1" t="str">
        <f t="shared" si="0"/>
        <v/>
      </c>
      <c r="M46" t="s">
        <v>23</v>
      </c>
      <c r="N46" t="str">
        <f t="shared" si="2"/>
        <v/>
      </c>
      <c r="O46" s="1" t="str">
        <f t="shared" si="1"/>
        <v/>
      </c>
    </row>
    <row r="47" spans="1:15" x14ac:dyDescent="0.25">
      <c r="A47" t="s">
        <v>93</v>
      </c>
      <c r="B47" t="s">
        <v>57</v>
      </c>
      <c r="C47" t="s">
        <v>24</v>
      </c>
      <c r="D47" t="s">
        <v>18</v>
      </c>
      <c r="E47" t="s">
        <v>31</v>
      </c>
      <c r="F47" t="s">
        <v>126</v>
      </c>
      <c r="G47" t="s">
        <v>127</v>
      </c>
      <c r="H47" t="s">
        <v>84</v>
      </c>
      <c r="I47" s="4">
        <v>45992</v>
      </c>
      <c r="J47" s="4">
        <v>46017</v>
      </c>
      <c r="K47" s="4"/>
      <c r="L47" s="1" t="str">
        <f t="shared" si="0"/>
        <v/>
      </c>
      <c r="N47" t="str">
        <f t="shared" si="2"/>
        <v/>
      </c>
      <c r="O47" s="1" t="str">
        <f t="shared" si="1"/>
        <v/>
      </c>
    </row>
    <row r="48" spans="1:15" x14ac:dyDescent="0.25">
      <c r="A48" t="s">
        <v>93</v>
      </c>
      <c r="B48" t="s">
        <v>57</v>
      </c>
      <c r="C48" t="s">
        <v>34</v>
      </c>
      <c r="D48" t="s">
        <v>18</v>
      </c>
      <c r="E48" t="s">
        <v>35</v>
      </c>
      <c r="F48" t="s">
        <v>128</v>
      </c>
      <c r="G48" t="s">
        <v>129</v>
      </c>
      <c r="H48" t="s">
        <v>29</v>
      </c>
      <c r="I48" s="4">
        <v>46011</v>
      </c>
      <c r="J48" s="4">
        <v>46021</v>
      </c>
      <c r="K48" s="4">
        <v>46014</v>
      </c>
      <c r="L48" s="1" t="str">
        <f t="shared" si="0"/>
        <v>Sprint 5</v>
      </c>
      <c r="N48">
        <f t="shared" si="2"/>
        <v>4</v>
      </c>
      <c r="O48" s="1" t="str">
        <f t="shared" si="1"/>
        <v>Early</v>
      </c>
    </row>
    <row r="49" spans="1:15" x14ac:dyDescent="0.25">
      <c r="A49" t="s">
        <v>93</v>
      </c>
      <c r="B49" t="s">
        <v>57</v>
      </c>
      <c r="C49" t="s">
        <v>38</v>
      </c>
      <c r="D49" t="s">
        <v>25</v>
      </c>
      <c r="E49" t="s">
        <v>19</v>
      </c>
      <c r="F49" t="s">
        <v>130</v>
      </c>
      <c r="G49" t="s">
        <v>131</v>
      </c>
      <c r="H49" t="s">
        <v>29</v>
      </c>
      <c r="I49" s="4">
        <v>46006</v>
      </c>
      <c r="J49" s="4">
        <v>46017</v>
      </c>
      <c r="K49" s="4">
        <v>46017</v>
      </c>
      <c r="L49" s="1" t="str">
        <f t="shared" si="0"/>
        <v>Sprint 5</v>
      </c>
      <c r="M49" t="s">
        <v>23</v>
      </c>
      <c r="N49">
        <f t="shared" si="2"/>
        <v>12</v>
      </c>
      <c r="O49" s="1" t="str">
        <f t="shared" si="1"/>
        <v>On time</v>
      </c>
    </row>
    <row r="50" spans="1:15" x14ac:dyDescent="0.25">
      <c r="A50" t="s">
        <v>93</v>
      </c>
      <c r="B50" t="s">
        <v>57</v>
      </c>
      <c r="C50" t="s">
        <v>34</v>
      </c>
      <c r="D50" t="s">
        <v>25</v>
      </c>
      <c r="E50" t="s">
        <v>26</v>
      </c>
      <c r="F50" t="s">
        <v>132</v>
      </c>
      <c r="G50" t="s">
        <v>133</v>
      </c>
      <c r="H50" t="s">
        <v>29</v>
      </c>
      <c r="I50" s="4">
        <v>46009</v>
      </c>
      <c r="J50" s="4">
        <v>46024</v>
      </c>
      <c r="K50" s="4">
        <v>46024</v>
      </c>
      <c r="L50" s="1" t="str">
        <f t="shared" si="0"/>
        <v>Sprint 6</v>
      </c>
      <c r="N50">
        <f t="shared" si="2"/>
        <v>16</v>
      </c>
      <c r="O50" s="1" t="str">
        <f t="shared" si="1"/>
        <v>On time</v>
      </c>
    </row>
    <row r="51" spans="1:15" x14ac:dyDescent="0.25">
      <c r="A51" t="s">
        <v>93</v>
      </c>
      <c r="B51" t="s">
        <v>57</v>
      </c>
      <c r="C51" t="s">
        <v>24</v>
      </c>
      <c r="D51" t="s">
        <v>25</v>
      </c>
      <c r="E51" t="s">
        <v>31</v>
      </c>
      <c r="F51" t="s">
        <v>134</v>
      </c>
      <c r="G51" t="s">
        <v>135</v>
      </c>
      <c r="H51" t="s">
        <v>22</v>
      </c>
      <c r="I51" s="4"/>
      <c r="J51" s="4"/>
      <c r="L51" s="1" t="str">
        <f t="shared" si="0"/>
        <v/>
      </c>
      <c r="N51" t="str">
        <f t="shared" si="2"/>
        <v/>
      </c>
      <c r="O51" s="1" t="str">
        <f t="shared" si="1"/>
        <v/>
      </c>
    </row>
    <row r="52" spans="1:15" x14ac:dyDescent="0.25">
      <c r="A52" t="s">
        <v>93</v>
      </c>
      <c r="B52" t="s">
        <v>57</v>
      </c>
      <c r="C52" t="s">
        <v>17</v>
      </c>
      <c r="D52" t="s">
        <v>25</v>
      </c>
      <c r="E52" t="s">
        <v>19</v>
      </c>
      <c r="F52" t="s">
        <v>136</v>
      </c>
      <c r="G52" t="s">
        <v>137</v>
      </c>
      <c r="H52" t="s">
        <v>29</v>
      </c>
      <c r="I52" s="4">
        <v>45996</v>
      </c>
      <c r="J52" s="4">
        <v>46026</v>
      </c>
      <c r="K52" s="4">
        <v>46027</v>
      </c>
      <c r="L52" s="1" t="str">
        <f t="shared" si="0"/>
        <v>Sprint 6</v>
      </c>
      <c r="N52">
        <f t="shared" si="2"/>
        <v>32</v>
      </c>
      <c r="O52" s="1" t="str">
        <f t="shared" si="1"/>
        <v>Late</v>
      </c>
    </row>
    <row r="53" spans="1:15" x14ac:dyDescent="0.25">
      <c r="A53" t="s">
        <v>93</v>
      </c>
      <c r="B53" t="s">
        <v>57</v>
      </c>
      <c r="C53" t="s">
        <v>30</v>
      </c>
      <c r="D53" t="s">
        <v>25</v>
      </c>
      <c r="E53" t="s">
        <v>35</v>
      </c>
      <c r="F53" t="s">
        <v>138</v>
      </c>
      <c r="G53" t="s">
        <v>139</v>
      </c>
      <c r="H53" t="s">
        <v>84</v>
      </c>
      <c r="I53" s="4">
        <v>45992</v>
      </c>
      <c r="J53" s="4">
        <v>46017</v>
      </c>
      <c r="L53" s="1" t="str">
        <f t="shared" si="0"/>
        <v/>
      </c>
      <c r="M53" t="s">
        <v>23</v>
      </c>
      <c r="N53" t="str">
        <f t="shared" si="2"/>
        <v/>
      </c>
      <c r="O53" s="1" t="str">
        <f t="shared" si="1"/>
        <v/>
      </c>
    </row>
    <row r="54" spans="1:15" x14ac:dyDescent="0.25">
      <c r="A54" t="s">
        <v>93</v>
      </c>
      <c r="B54" t="s">
        <v>57</v>
      </c>
      <c r="C54" t="s">
        <v>24</v>
      </c>
      <c r="D54" t="s">
        <v>25</v>
      </c>
      <c r="E54" t="s">
        <v>26</v>
      </c>
      <c r="F54" t="s">
        <v>140</v>
      </c>
      <c r="G54" t="s">
        <v>141</v>
      </c>
      <c r="H54" t="s">
        <v>84</v>
      </c>
      <c r="I54" s="4">
        <v>45999</v>
      </c>
      <c r="J54" s="4">
        <v>46028</v>
      </c>
      <c r="K54" s="4"/>
      <c r="L54" s="1" t="str">
        <f t="shared" si="0"/>
        <v/>
      </c>
      <c r="N54" t="str">
        <f t="shared" si="2"/>
        <v/>
      </c>
      <c r="O54" s="1" t="str">
        <f t="shared" si="1"/>
        <v/>
      </c>
    </row>
    <row r="55" spans="1:15" x14ac:dyDescent="0.25">
      <c r="A55" t="s">
        <v>93</v>
      </c>
      <c r="B55" t="s">
        <v>57</v>
      </c>
      <c r="C55" t="s">
        <v>17</v>
      </c>
      <c r="D55" t="s">
        <v>25</v>
      </c>
      <c r="E55" t="s">
        <v>31</v>
      </c>
      <c r="F55" t="s">
        <v>142</v>
      </c>
      <c r="G55" t="s">
        <v>143</v>
      </c>
      <c r="H55" t="s">
        <v>22</v>
      </c>
      <c r="L55" s="1" t="str">
        <f t="shared" si="0"/>
        <v/>
      </c>
      <c r="M55" t="s">
        <v>23</v>
      </c>
      <c r="N55" t="str">
        <f t="shared" si="2"/>
        <v/>
      </c>
      <c r="O55" s="1" t="str">
        <f t="shared" si="1"/>
        <v/>
      </c>
    </row>
    <row r="56" spans="1:15" x14ac:dyDescent="0.25">
      <c r="A56" t="s">
        <v>93</v>
      </c>
      <c r="B56" t="s">
        <v>57</v>
      </c>
      <c r="C56" t="s">
        <v>30</v>
      </c>
      <c r="D56" t="s">
        <v>25</v>
      </c>
      <c r="E56" t="s">
        <v>19</v>
      </c>
      <c r="F56" t="s">
        <v>144</v>
      </c>
      <c r="G56" t="s">
        <v>145</v>
      </c>
      <c r="H56" t="s">
        <v>29</v>
      </c>
      <c r="I56" s="4">
        <v>46017</v>
      </c>
      <c r="J56" s="4">
        <v>46029</v>
      </c>
      <c r="K56" s="4">
        <v>46029</v>
      </c>
      <c r="L56" s="1" t="str">
        <f t="shared" si="0"/>
        <v>Sprint 6</v>
      </c>
      <c r="N56">
        <f t="shared" si="2"/>
        <v>13</v>
      </c>
      <c r="O56" s="1" t="str">
        <f t="shared" si="1"/>
        <v>On time</v>
      </c>
    </row>
    <row r="57" spans="1:15" x14ac:dyDescent="0.25">
      <c r="A57" t="s">
        <v>93</v>
      </c>
      <c r="B57" t="s">
        <v>57</v>
      </c>
      <c r="C57" t="s">
        <v>34</v>
      </c>
      <c r="D57" t="s">
        <v>25</v>
      </c>
      <c r="E57" t="s">
        <v>26</v>
      </c>
      <c r="F57" t="s">
        <v>146</v>
      </c>
      <c r="G57" t="s">
        <v>147</v>
      </c>
      <c r="H57" t="s">
        <v>84</v>
      </c>
      <c r="I57" s="4">
        <v>46001</v>
      </c>
      <c r="J57" s="4">
        <v>46030</v>
      </c>
      <c r="K57" s="4"/>
      <c r="L57" s="1" t="str">
        <f t="shared" si="0"/>
        <v/>
      </c>
      <c r="N57" t="str">
        <f t="shared" si="2"/>
        <v/>
      </c>
      <c r="O57" s="1" t="str">
        <f t="shared" si="1"/>
        <v/>
      </c>
    </row>
    <row r="58" spans="1:15" x14ac:dyDescent="0.25">
      <c r="A58" t="s">
        <v>93</v>
      </c>
      <c r="B58" t="s">
        <v>57</v>
      </c>
      <c r="C58" t="s">
        <v>38</v>
      </c>
      <c r="D58" t="s">
        <v>18</v>
      </c>
      <c r="E58" t="s">
        <v>35</v>
      </c>
      <c r="F58" t="s">
        <v>148</v>
      </c>
      <c r="G58" t="s">
        <v>149</v>
      </c>
      <c r="H58" t="s">
        <v>22</v>
      </c>
      <c r="I58" s="4"/>
      <c r="J58" s="4"/>
      <c r="L58" s="1" t="str">
        <f t="shared" si="0"/>
        <v/>
      </c>
      <c r="N58" t="str">
        <f t="shared" si="2"/>
        <v/>
      </c>
      <c r="O58" s="1" t="str">
        <f t="shared" si="1"/>
        <v/>
      </c>
    </row>
    <row r="59" spans="1:15" x14ac:dyDescent="0.25">
      <c r="A59" t="s">
        <v>93</v>
      </c>
      <c r="B59" t="s">
        <v>57</v>
      </c>
      <c r="C59" t="s">
        <v>34</v>
      </c>
      <c r="D59" t="s">
        <v>18</v>
      </c>
      <c r="E59" t="s">
        <v>31</v>
      </c>
      <c r="F59" t="s">
        <v>150</v>
      </c>
      <c r="G59" t="s">
        <v>151</v>
      </c>
      <c r="H59" t="s">
        <v>84</v>
      </c>
      <c r="I59" s="4">
        <v>46001</v>
      </c>
      <c r="J59" s="4">
        <v>46030</v>
      </c>
      <c r="L59" s="1" t="str">
        <f t="shared" si="0"/>
        <v/>
      </c>
      <c r="M59" t="s">
        <v>23</v>
      </c>
      <c r="N59" t="str">
        <f t="shared" si="2"/>
        <v/>
      </c>
      <c r="O59" s="1" t="str">
        <f t="shared" si="1"/>
        <v/>
      </c>
    </row>
    <row r="60" spans="1:15" x14ac:dyDescent="0.25">
      <c r="A60" t="s">
        <v>93</v>
      </c>
      <c r="B60" t="s">
        <v>57</v>
      </c>
      <c r="C60" t="s">
        <v>30</v>
      </c>
      <c r="D60" t="s">
        <v>25</v>
      </c>
      <c r="E60" t="s">
        <v>19</v>
      </c>
      <c r="F60" t="s">
        <v>152</v>
      </c>
      <c r="G60" t="s">
        <v>153</v>
      </c>
      <c r="H60" t="s">
        <v>29</v>
      </c>
      <c r="I60" s="4">
        <v>45973</v>
      </c>
      <c r="J60" s="4">
        <v>45980</v>
      </c>
      <c r="K60" s="4">
        <v>45980</v>
      </c>
      <c r="L60" s="1" t="str">
        <f t="shared" si="0"/>
        <v>Sprint 3</v>
      </c>
      <c r="N60">
        <f t="shared" si="2"/>
        <v>8</v>
      </c>
      <c r="O60" s="1" t="str">
        <f t="shared" si="1"/>
        <v>On time</v>
      </c>
    </row>
    <row r="61" spans="1:15" x14ac:dyDescent="0.25">
      <c r="A61" t="s">
        <v>93</v>
      </c>
      <c r="B61" t="s">
        <v>57</v>
      </c>
      <c r="C61" t="s">
        <v>24</v>
      </c>
      <c r="D61" t="s">
        <v>18</v>
      </c>
      <c r="E61" t="s">
        <v>26</v>
      </c>
      <c r="F61" t="s">
        <v>154</v>
      </c>
      <c r="G61" t="s">
        <v>155</v>
      </c>
      <c r="H61" t="s">
        <v>29</v>
      </c>
      <c r="I61" s="4">
        <v>45976</v>
      </c>
      <c r="J61" s="4">
        <v>45982</v>
      </c>
      <c r="K61" s="4">
        <v>45982</v>
      </c>
      <c r="L61" s="1" t="str">
        <f t="shared" si="0"/>
        <v>Sprint 3</v>
      </c>
      <c r="N61">
        <f t="shared" si="2"/>
        <v>7</v>
      </c>
      <c r="O61" s="1" t="str">
        <f t="shared" si="1"/>
        <v>On time</v>
      </c>
    </row>
    <row r="62" spans="1:15" x14ac:dyDescent="0.25">
      <c r="A62" t="s">
        <v>93</v>
      </c>
      <c r="B62" t="s">
        <v>57</v>
      </c>
      <c r="C62" t="s">
        <v>38</v>
      </c>
      <c r="D62" t="s">
        <v>25</v>
      </c>
      <c r="E62" t="s">
        <v>31</v>
      </c>
      <c r="F62" t="s">
        <v>156</v>
      </c>
      <c r="G62" t="s">
        <v>157</v>
      </c>
      <c r="H62" t="s">
        <v>22</v>
      </c>
      <c r="I62">
        <v>45968</v>
      </c>
      <c r="J62">
        <v>45988</v>
      </c>
      <c r="K62">
        <v>45982</v>
      </c>
      <c r="L62" s="1" t="str">
        <f t="shared" si="0"/>
        <v>Sprint 3</v>
      </c>
      <c r="M62" t="s">
        <v>23</v>
      </c>
      <c r="N62">
        <f t="shared" si="2"/>
        <v>15</v>
      </c>
      <c r="O62" s="1" t="str">
        <f t="shared" si="1"/>
        <v>Early</v>
      </c>
    </row>
    <row r="63" spans="1:15" x14ac:dyDescent="0.25">
      <c r="A63" t="s">
        <v>93</v>
      </c>
      <c r="B63" t="s">
        <v>57</v>
      </c>
      <c r="C63" t="s">
        <v>17</v>
      </c>
      <c r="D63" t="s">
        <v>18</v>
      </c>
      <c r="E63" t="s">
        <v>35</v>
      </c>
      <c r="F63" t="s">
        <v>158</v>
      </c>
      <c r="G63" t="s">
        <v>159</v>
      </c>
      <c r="H63" t="s">
        <v>29</v>
      </c>
      <c r="I63" s="4">
        <v>45973</v>
      </c>
      <c r="J63" s="4">
        <v>45982</v>
      </c>
      <c r="K63" s="4">
        <v>45983</v>
      </c>
      <c r="L63" s="1" t="str">
        <f t="shared" si="0"/>
        <v>Sprint 3</v>
      </c>
      <c r="N63">
        <f t="shared" si="2"/>
        <v>11</v>
      </c>
      <c r="O63" s="1" t="str">
        <f t="shared" si="1"/>
        <v>Late</v>
      </c>
    </row>
    <row r="64" spans="1:15" x14ac:dyDescent="0.25">
      <c r="A64" t="s">
        <v>93</v>
      </c>
      <c r="B64" t="s">
        <v>57</v>
      </c>
      <c r="C64" t="s">
        <v>38</v>
      </c>
      <c r="D64" t="s">
        <v>18</v>
      </c>
      <c r="E64" t="s">
        <v>19</v>
      </c>
      <c r="F64" t="s">
        <v>160</v>
      </c>
      <c r="G64" t="s">
        <v>161</v>
      </c>
      <c r="H64" t="s">
        <v>29</v>
      </c>
      <c r="I64" s="4">
        <v>45972</v>
      </c>
      <c r="J64" s="4">
        <v>45988</v>
      </c>
      <c r="K64" s="4">
        <v>45982</v>
      </c>
      <c r="L64" s="1" t="str">
        <f t="shared" si="0"/>
        <v>Sprint 3</v>
      </c>
      <c r="N64">
        <f t="shared" si="2"/>
        <v>11</v>
      </c>
      <c r="O64" s="1" t="str">
        <f t="shared" si="1"/>
        <v>Early</v>
      </c>
    </row>
    <row r="65" spans="1:15" x14ac:dyDescent="0.25">
      <c r="A65" t="s">
        <v>93</v>
      </c>
      <c r="B65" t="s">
        <v>57</v>
      </c>
      <c r="C65" t="s">
        <v>24</v>
      </c>
      <c r="D65" t="s">
        <v>25</v>
      </c>
      <c r="E65" t="s">
        <v>26</v>
      </c>
      <c r="F65" t="s">
        <v>162</v>
      </c>
      <c r="G65" t="s">
        <v>163</v>
      </c>
      <c r="H65" t="s">
        <v>29</v>
      </c>
      <c r="I65" s="4">
        <v>45986</v>
      </c>
      <c r="J65" s="4">
        <v>45994</v>
      </c>
      <c r="K65" s="4">
        <v>45994</v>
      </c>
      <c r="L65" s="1" t="str">
        <f t="shared" si="0"/>
        <v>Sprint 4</v>
      </c>
      <c r="N65">
        <f t="shared" si="2"/>
        <v>9</v>
      </c>
      <c r="O65" s="1" t="str">
        <f t="shared" si="1"/>
        <v>On time</v>
      </c>
    </row>
    <row r="66" spans="1:15" x14ac:dyDescent="0.25">
      <c r="A66" t="s">
        <v>93</v>
      </c>
      <c r="B66" t="s">
        <v>57</v>
      </c>
      <c r="C66" t="s">
        <v>17</v>
      </c>
      <c r="D66" t="s">
        <v>25</v>
      </c>
      <c r="E66" t="s">
        <v>31</v>
      </c>
      <c r="F66" t="s">
        <v>164</v>
      </c>
      <c r="G66" t="s">
        <v>165</v>
      </c>
      <c r="H66" t="s">
        <v>22</v>
      </c>
      <c r="L66" s="1" t="str">
        <f t="shared" si="0"/>
        <v/>
      </c>
      <c r="M66" t="s">
        <v>23</v>
      </c>
      <c r="N66" t="str">
        <f t="shared" si="2"/>
        <v/>
      </c>
      <c r="O66" s="1" t="str">
        <f t="shared" si="1"/>
        <v/>
      </c>
    </row>
    <row r="67" spans="1:15" x14ac:dyDescent="0.25">
      <c r="A67" t="s">
        <v>93</v>
      </c>
      <c r="B67" t="s">
        <v>57</v>
      </c>
      <c r="C67" t="s">
        <v>24</v>
      </c>
      <c r="D67" t="s">
        <v>25</v>
      </c>
      <c r="E67" t="s">
        <v>19</v>
      </c>
      <c r="F67" t="s">
        <v>166</v>
      </c>
      <c r="G67" t="s">
        <v>167</v>
      </c>
      <c r="H67" t="s">
        <v>29</v>
      </c>
      <c r="I67" s="4">
        <v>45968</v>
      </c>
      <c r="J67" s="4">
        <v>45988</v>
      </c>
      <c r="K67" s="4">
        <v>45982</v>
      </c>
      <c r="L67" s="1" t="str">
        <f t="shared" ref="L67:L100" si="3">IF(K67="","",IF(AND(K67&gt;=DATE(2025,10,21),K67&lt;=DATE(2025,10,21)),"PI-3 Sprint 6",IF(AND(K67&gt;=DATE(2025,10,22),K67&lt;=DATE(2025,11,4)),"Sprint 1",IF(AND(K67&gt;=DATE(2025,11,5),K67&lt;=DATE(2025,11,18)),"Sprint 2",IF(AND(K67&gt;=DATE(2025,11,19),K67&lt;=DATE(2025,12,2)),"Sprint 3",IF(AND(K67&gt;=DATE(2025,12,3),K67&lt;=DATE(2025,12,16)),"Sprint 4",IF(AND(K67&gt;=DATE(2025,12,17),K67&lt;=DATE(2025,12,30)),"Sprint 5",IF(AND(K67&gt;=DATE(2025,12,31),K67&lt;=DATE(2026,1,20)),"Sprint 6","N/A"))))))))</f>
        <v>Sprint 3</v>
      </c>
      <c r="N67">
        <f t="shared" ref="N67:N100" si="4">IF(K67="", "", (K67 - I67 +1))</f>
        <v>15</v>
      </c>
      <c r="O67" s="1" t="str">
        <f t="shared" ref="O67:O100" si="5">IF(K67="","", IF(J67="", "N/A", IF(K67 &gt; J67, "Late", IF(K67 &lt; J67, "Early", IF(K67 = J67, "On time", "")))))</f>
        <v>Early</v>
      </c>
    </row>
    <row r="68" spans="1:15" x14ac:dyDescent="0.25">
      <c r="A68" t="s">
        <v>93</v>
      </c>
      <c r="B68" t="s">
        <v>57</v>
      </c>
      <c r="C68" t="s">
        <v>30</v>
      </c>
      <c r="D68" t="s">
        <v>25</v>
      </c>
      <c r="E68" t="s">
        <v>35</v>
      </c>
      <c r="F68" t="s">
        <v>168</v>
      </c>
      <c r="G68" t="s">
        <v>169</v>
      </c>
      <c r="H68" t="s">
        <v>84</v>
      </c>
      <c r="I68" s="4">
        <v>46009</v>
      </c>
      <c r="J68" s="4">
        <v>46038</v>
      </c>
      <c r="L68" s="1" t="str">
        <f t="shared" si="3"/>
        <v/>
      </c>
      <c r="M68" t="s">
        <v>23</v>
      </c>
      <c r="N68" t="str">
        <f t="shared" si="4"/>
        <v/>
      </c>
      <c r="O68" s="1" t="str">
        <f t="shared" si="5"/>
        <v/>
      </c>
    </row>
    <row r="69" spans="1:15" x14ac:dyDescent="0.25">
      <c r="A69" t="s">
        <v>93</v>
      </c>
      <c r="B69" t="s">
        <v>57</v>
      </c>
      <c r="C69" t="s">
        <v>34</v>
      </c>
      <c r="D69" t="s">
        <v>18</v>
      </c>
      <c r="E69" t="s">
        <v>26</v>
      </c>
      <c r="F69" t="s">
        <v>170</v>
      </c>
      <c r="G69" t="s">
        <v>171</v>
      </c>
      <c r="H69" t="s">
        <v>22</v>
      </c>
      <c r="I69" s="4"/>
      <c r="J69" s="4"/>
      <c r="L69" s="1" t="str">
        <f t="shared" si="3"/>
        <v/>
      </c>
      <c r="N69" t="str">
        <f t="shared" si="4"/>
        <v/>
      </c>
      <c r="O69" s="1" t="str">
        <f t="shared" si="5"/>
        <v/>
      </c>
    </row>
    <row r="70" spans="1:15" x14ac:dyDescent="0.25">
      <c r="A70" t="s">
        <v>93</v>
      </c>
      <c r="B70" t="s">
        <v>57</v>
      </c>
      <c r="C70" t="s">
        <v>38</v>
      </c>
      <c r="D70" t="s">
        <v>18</v>
      </c>
      <c r="E70" t="s">
        <v>31</v>
      </c>
      <c r="F70" t="s">
        <v>172</v>
      </c>
      <c r="G70" t="s">
        <v>173</v>
      </c>
      <c r="H70" t="s">
        <v>84</v>
      </c>
      <c r="I70" s="4">
        <v>46014</v>
      </c>
      <c r="J70" s="4">
        <v>46041</v>
      </c>
      <c r="K70" s="4"/>
      <c r="L70" s="1" t="str">
        <f t="shared" si="3"/>
        <v/>
      </c>
      <c r="N70" t="str">
        <f t="shared" si="4"/>
        <v/>
      </c>
      <c r="O70" s="1" t="str">
        <f t="shared" si="5"/>
        <v/>
      </c>
    </row>
    <row r="71" spans="1:15" x14ac:dyDescent="0.25">
      <c r="A71" t="s">
        <v>93</v>
      </c>
      <c r="B71" t="s">
        <v>57</v>
      </c>
      <c r="C71" t="s">
        <v>34</v>
      </c>
      <c r="D71" t="s">
        <v>25</v>
      </c>
      <c r="E71" t="s">
        <v>19</v>
      </c>
      <c r="F71" t="s">
        <v>174</v>
      </c>
      <c r="G71" t="s">
        <v>175</v>
      </c>
      <c r="H71" t="s">
        <v>29</v>
      </c>
      <c r="I71" s="4">
        <v>46022</v>
      </c>
      <c r="J71" s="4">
        <v>46042</v>
      </c>
      <c r="K71" s="4">
        <v>46042</v>
      </c>
      <c r="L71" s="1" t="str">
        <f t="shared" si="3"/>
        <v>Sprint 6</v>
      </c>
      <c r="N71">
        <f t="shared" si="4"/>
        <v>21</v>
      </c>
      <c r="O71" s="1" t="str">
        <f>IF(K71="","", IF(J71="", "N/A", IF(K71 &gt; J71, "Late", IF(K71 &lt; J71, "Early", IF(K71 = J71, "On time", "")))))</f>
        <v>On time</v>
      </c>
    </row>
    <row r="72" spans="1:15" x14ac:dyDescent="0.25">
      <c r="A72" t="s">
        <v>93</v>
      </c>
      <c r="B72" t="s">
        <v>57</v>
      </c>
      <c r="C72" t="s">
        <v>38</v>
      </c>
      <c r="D72" t="s">
        <v>25</v>
      </c>
      <c r="E72" t="s">
        <v>26</v>
      </c>
      <c r="F72" t="s">
        <v>176</v>
      </c>
      <c r="G72" t="s">
        <v>177</v>
      </c>
      <c r="H72" t="s">
        <v>84</v>
      </c>
      <c r="I72" s="4">
        <v>45967</v>
      </c>
      <c r="J72" s="4">
        <v>45987</v>
      </c>
      <c r="L72" s="1" t="str">
        <f t="shared" si="3"/>
        <v/>
      </c>
      <c r="M72" t="s">
        <v>23</v>
      </c>
      <c r="N72" t="str">
        <f t="shared" si="4"/>
        <v/>
      </c>
      <c r="O72" s="1" t="str">
        <f t="shared" si="5"/>
        <v/>
      </c>
    </row>
    <row r="73" spans="1:15" x14ac:dyDescent="0.25">
      <c r="A73" t="s">
        <v>93</v>
      </c>
      <c r="B73" t="s">
        <v>57</v>
      </c>
      <c r="C73" t="s">
        <v>17</v>
      </c>
      <c r="D73" t="s">
        <v>25</v>
      </c>
      <c r="E73" t="s">
        <v>35</v>
      </c>
      <c r="F73" t="s">
        <v>178</v>
      </c>
      <c r="G73" t="s">
        <v>179</v>
      </c>
      <c r="H73" t="s">
        <v>22</v>
      </c>
      <c r="L73" s="1" t="str">
        <f t="shared" si="3"/>
        <v/>
      </c>
      <c r="N73" t="str">
        <f t="shared" si="4"/>
        <v/>
      </c>
      <c r="O73" s="1" t="str">
        <f t="shared" si="5"/>
        <v/>
      </c>
    </row>
    <row r="74" spans="1:15" x14ac:dyDescent="0.25">
      <c r="A74" t="s">
        <v>93</v>
      </c>
      <c r="B74" t="s">
        <v>57</v>
      </c>
      <c r="C74" t="s">
        <v>30</v>
      </c>
      <c r="D74" t="s">
        <v>18</v>
      </c>
      <c r="E74" t="s">
        <v>31</v>
      </c>
      <c r="F74" t="s">
        <v>180</v>
      </c>
      <c r="G74" t="s">
        <v>181</v>
      </c>
      <c r="H74" t="s">
        <v>29</v>
      </c>
      <c r="I74" s="4">
        <v>45986</v>
      </c>
      <c r="J74" s="4">
        <v>45995</v>
      </c>
      <c r="K74" s="4">
        <v>45995</v>
      </c>
      <c r="L74" s="1" t="str">
        <f t="shared" si="3"/>
        <v>Sprint 4</v>
      </c>
      <c r="N74">
        <f t="shared" si="4"/>
        <v>10</v>
      </c>
      <c r="O74" s="1" t="str">
        <f t="shared" si="5"/>
        <v>On time</v>
      </c>
    </row>
    <row r="75" spans="1:15" x14ac:dyDescent="0.25">
      <c r="A75" t="s">
        <v>93</v>
      </c>
      <c r="B75" t="s">
        <v>57</v>
      </c>
      <c r="C75" t="s">
        <v>24</v>
      </c>
      <c r="D75" t="s">
        <v>25</v>
      </c>
      <c r="E75" t="s">
        <v>19</v>
      </c>
      <c r="F75" t="s">
        <v>182</v>
      </c>
      <c r="G75" t="s">
        <v>183</v>
      </c>
      <c r="H75" t="s">
        <v>84</v>
      </c>
      <c r="I75" s="4">
        <v>45973</v>
      </c>
      <c r="J75" s="4">
        <v>45995</v>
      </c>
      <c r="L75" s="1" t="str">
        <f t="shared" si="3"/>
        <v/>
      </c>
      <c r="N75" t="str">
        <f t="shared" si="4"/>
        <v/>
      </c>
      <c r="O75" s="1" t="str">
        <f t="shared" si="5"/>
        <v/>
      </c>
    </row>
    <row r="76" spans="1:15" x14ac:dyDescent="0.25">
      <c r="A76" t="s">
        <v>93</v>
      </c>
      <c r="B76" t="s">
        <v>57</v>
      </c>
      <c r="C76" t="s">
        <v>30</v>
      </c>
      <c r="D76" t="s">
        <v>25</v>
      </c>
      <c r="E76" t="s">
        <v>26</v>
      </c>
      <c r="F76" t="s">
        <v>184</v>
      </c>
      <c r="G76" t="s">
        <v>185</v>
      </c>
      <c r="H76" t="s">
        <v>84</v>
      </c>
      <c r="I76" s="4">
        <v>45978</v>
      </c>
      <c r="J76" s="4">
        <v>46001</v>
      </c>
      <c r="L76" s="1" t="str">
        <f t="shared" si="3"/>
        <v/>
      </c>
      <c r="N76" t="str">
        <f t="shared" si="4"/>
        <v/>
      </c>
      <c r="O76" s="1" t="str">
        <f t="shared" si="5"/>
        <v/>
      </c>
    </row>
    <row r="77" spans="1:15" x14ac:dyDescent="0.25">
      <c r="A77" t="s">
        <v>93</v>
      </c>
      <c r="B77" t="s">
        <v>57</v>
      </c>
      <c r="C77" t="s">
        <v>17</v>
      </c>
      <c r="D77" t="s">
        <v>25</v>
      </c>
      <c r="E77" t="s">
        <v>31</v>
      </c>
      <c r="F77" t="s">
        <v>186</v>
      </c>
      <c r="G77" t="s">
        <v>187</v>
      </c>
      <c r="H77" t="s">
        <v>22</v>
      </c>
      <c r="I77" s="4"/>
      <c r="J77" s="4"/>
      <c r="L77" s="1" t="str">
        <f t="shared" si="3"/>
        <v/>
      </c>
      <c r="N77" t="str">
        <f t="shared" si="4"/>
        <v/>
      </c>
      <c r="O77" s="1" t="str">
        <f t="shared" si="5"/>
        <v/>
      </c>
    </row>
    <row r="78" spans="1:15" x14ac:dyDescent="0.25">
      <c r="A78" t="s">
        <v>93</v>
      </c>
      <c r="B78" t="s">
        <v>57</v>
      </c>
      <c r="C78" t="s">
        <v>38</v>
      </c>
      <c r="D78" t="s">
        <v>25</v>
      </c>
      <c r="E78" t="s">
        <v>35</v>
      </c>
      <c r="F78" t="s">
        <v>188</v>
      </c>
      <c r="G78" t="s">
        <v>189</v>
      </c>
      <c r="H78" t="s">
        <v>29</v>
      </c>
      <c r="I78" s="4">
        <v>45993</v>
      </c>
      <c r="J78" s="4">
        <v>46003</v>
      </c>
      <c r="K78" s="4">
        <v>46003</v>
      </c>
      <c r="L78" s="1" t="str">
        <f t="shared" si="3"/>
        <v>Sprint 4</v>
      </c>
      <c r="N78">
        <f t="shared" si="4"/>
        <v>11</v>
      </c>
      <c r="O78" s="1" t="str">
        <f t="shared" si="5"/>
        <v>On time</v>
      </c>
    </row>
    <row r="79" spans="1:15" x14ac:dyDescent="0.25">
      <c r="A79" t="s">
        <v>93</v>
      </c>
      <c r="B79" t="s">
        <v>57</v>
      </c>
      <c r="C79" t="s">
        <v>24</v>
      </c>
      <c r="D79" t="s">
        <v>25</v>
      </c>
      <c r="E79" t="s">
        <v>19</v>
      </c>
      <c r="F79" t="s">
        <v>190</v>
      </c>
      <c r="G79" t="s">
        <v>191</v>
      </c>
      <c r="H79" t="s">
        <v>29</v>
      </c>
      <c r="I79" s="4">
        <v>45978</v>
      </c>
      <c r="J79" s="4">
        <v>46001</v>
      </c>
      <c r="K79" s="4">
        <v>46010</v>
      </c>
      <c r="L79" s="1" t="str">
        <f t="shared" si="3"/>
        <v>Sprint 5</v>
      </c>
      <c r="N79">
        <f t="shared" si="4"/>
        <v>33</v>
      </c>
      <c r="O79" s="1" t="str">
        <f t="shared" si="5"/>
        <v>Late</v>
      </c>
    </row>
    <row r="80" spans="1:15" x14ac:dyDescent="0.25">
      <c r="A80" t="s">
        <v>93</v>
      </c>
      <c r="B80" t="s">
        <v>57</v>
      </c>
      <c r="C80" t="s">
        <v>34</v>
      </c>
      <c r="D80" t="s">
        <v>18</v>
      </c>
      <c r="E80" t="s">
        <v>26</v>
      </c>
      <c r="F80" t="s">
        <v>192</v>
      </c>
      <c r="G80" t="s">
        <v>193</v>
      </c>
      <c r="H80" t="s">
        <v>22</v>
      </c>
      <c r="I80" s="4"/>
      <c r="J80" s="4"/>
      <c r="L80" s="1" t="str">
        <f t="shared" si="3"/>
        <v/>
      </c>
      <c r="N80" t="str">
        <f t="shared" si="4"/>
        <v/>
      </c>
      <c r="O80" s="1" t="str">
        <f t="shared" si="5"/>
        <v/>
      </c>
    </row>
    <row r="81" spans="1:15" x14ac:dyDescent="0.25">
      <c r="A81" t="s">
        <v>93</v>
      </c>
      <c r="B81" t="s">
        <v>57</v>
      </c>
      <c r="C81" t="s">
        <v>38</v>
      </c>
      <c r="D81" t="s">
        <v>18</v>
      </c>
      <c r="E81" t="s">
        <v>31</v>
      </c>
      <c r="F81" t="s">
        <v>194</v>
      </c>
      <c r="G81" t="s">
        <v>195</v>
      </c>
      <c r="H81" t="s">
        <v>84</v>
      </c>
      <c r="I81" s="4">
        <v>45978</v>
      </c>
      <c r="J81" s="4">
        <v>46001</v>
      </c>
      <c r="L81" s="1" t="str">
        <f t="shared" si="3"/>
        <v/>
      </c>
      <c r="N81" t="str">
        <f t="shared" si="4"/>
        <v/>
      </c>
      <c r="O81" s="1" t="str">
        <f t="shared" si="5"/>
        <v/>
      </c>
    </row>
    <row r="82" spans="1:15" x14ac:dyDescent="0.25">
      <c r="A82" t="s">
        <v>93</v>
      </c>
      <c r="B82" t="s">
        <v>57</v>
      </c>
      <c r="C82" t="s">
        <v>34</v>
      </c>
      <c r="D82" t="s">
        <v>25</v>
      </c>
      <c r="E82" t="s">
        <v>19</v>
      </c>
      <c r="F82" t="s">
        <v>196</v>
      </c>
      <c r="G82" t="s">
        <v>197</v>
      </c>
      <c r="H82" t="s">
        <v>29</v>
      </c>
      <c r="I82" s="4">
        <v>46001</v>
      </c>
      <c r="J82" s="4">
        <v>46003</v>
      </c>
      <c r="K82" s="4">
        <v>46003</v>
      </c>
      <c r="L82" s="1" t="str">
        <f t="shared" si="3"/>
        <v>Sprint 4</v>
      </c>
      <c r="N82">
        <f t="shared" si="4"/>
        <v>3</v>
      </c>
      <c r="O82" s="1" t="str">
        <f t="shared" si="5"/>
        <v>On time</v>
      </c>
    </row>
    <row r="83" spans="1:15" x14ac:dyDescent="0.25">
      <c r="A83" t="s">
        <v>93</v>
      </c>
      <c r="B83" t="s">
        <v>57</v>
      </c>
      <c r="C83" t="s">
        <v>24</v>
      </c>
      <c r="D83" t="s">
        <v>18</v>
      </c>
      <c r="E83" t="s">
        <v>35</v>
      </c>
      <c r="F83" t="s">
        <v>198</v>
      </c>
      <c r="G83" t="s">
        <v>199</v>
      </c>
      <c r="H83" t="s">
        <v>29</v>
      </c>
      <c r="I83" s="4">
        <v>45987</v>
      </c>
      <c r="J83" s="4">
        <v>46010</v>
      </c>
      <c r="K83" s="4">
        <v>46010</v>
      </c>
      <c r="L83" s="1" t="str">
        <f t="shared" si="3"/>
        <v>Sprint 5</v>
      </c>
      <c r="N83">
        <f t="shared" si="4"/>
        <v>24</v>
      </c>
      <c r="O83" s="1" t="str">
        <f t="shared" si="5"/>
        <v>On time</v>
      </c>
    </row>
    <row r="84" spans="1:15" x14ac:dyDescent="0.25">
      <c r="A84" t="s">
        <v>93</v>
      </c>
      <c r="B84" t="s">
        <v>57</v>
      </c>
      <c r="C84" t="s">
        <v>17</v>
      </c>
      <c r="D84" t="s">
        <v>25</v>
      </c>
      <c r="E84" t="s">
        <v>26</v>
      </c>
      <c r="F84" t="s">
        <v>200</v>
      </c>
      <c r="G84" t="s">
        <v>201</v>
      </c>
      <c r="H84" t="s">
        <v>202</v>
      </c>
      <c r="L84" s="1" t="str">
        <f t="shared" si="3"/>
        <v/>
      </c>
      <c r="M84" t="s">
        <v>203</v>
      </c>
      <c r="N84" t="str">
        <f t="shared" si="4"/>
        <v/>
      </c>
      <c r="O84" s="1" t="str">
        <f t="shared" si="5"/>
        <v/>
      </c>
    </row>
    <row r="85" spans="1:15" x14ac:dyDescent="0.25">
      <c r="A85" t="s">
        <v>93</v>
      </c>
      <c r="B85" t="s">
        <v>57</v>
      </c>
      <c r="C85" t="s">
        <v>30</v>
      </c>
      <c r="D85" t="s">
        <v>18</v>
      </c>
      <c r="E85" t="s">
        <v>31</v>
      </c>
      <c r="F85" t="s">
        <v>204</v>
      </c>
      <c r="G85" t="s">
        <v>205</v>
      </c>
      <c r="H85" t="s">
        <v>22</v>
      </c>
      <c r="I85" s="4"/>
      <c r="J85" s="4"/>
      <c r="L85" s="1" t="str">
        <f t="shared" si="3"/>
        <v/>
      </c>
      <c r="N85" t="str">
        <f t="shared" si="4"/>
        <v/>
      </c>
      <c r="O85" s="1" t="str">
        <f t="shared" si="5"/>
        <v/>
      </c>
    </row>
    <row r="86" spans="1:15" x14ac:dyDescent="0.25">
      <c r="A86" t="s">
        <v>93</v>
      </c>
      <c r="B86" t="s">
        <v>57</v>
      </c>
      <c r="C86" t="s">
        <v>24</v>
      </c>
      <c r="D86" t="s">
        <v>18</v>
      </c>
      <c r="E86" t="s">
        <v>19</v>
      </c>
      <c r="F86" t="s">
        <v>206</v>
      </c>
      <c r="G86" t="s">
        <v>207</v>
      </c>
      <c r="H86" t="s">
        <v>29</v>
      </c>
      <c r="I86" s="4">
        <v>45991</v>
      </c>
      <c r="J86" s="4">
        <v>46003</v>
      </c>
      <c r="K86" s="4">
        <v>46003</v>
      </c>
      <c r="L86" s="1" t="str">
        <f t="shared" si="3"/>
        <v>Sprint 4</v>
      </c>
      <c r="N86">
        <f t="shared" si="4"/>
        <v>13</v>
      </c>
      <c r="O86" s="1" t="str">
        <f t="shared" si="5"/>
        <v>On time</v>
      </c>
    </row>
    <row r="87" spans="1:15" x14ac:dyDescent="0.25">
      <c r="A87" t="s">
        <v>93</v>
      </c>
      <c r="B87" t="s">
        <v>57</v>
      </c>
      <c r="C87" t="s">
        <v>17</v>
      </c>
      <c r="D87" t="s">
        <v>25</v>
      </c>
      <c r="E87" t="s">
        <v>26</v>
      </c>
      <c r="F87" t="s">
        <v>208</v>
      </c>
      <c r="G87" t="s">
        <v>209</v>
      </c>
      <c r="H87" t="s">
        <v>84</v>
      </c>
      <c r="I87" s="4">
        <v>45999</v>
      </c>
      <c r="J87" s="4">
        <v>46028</v>
      </c>
      <c r="L87" s="1" t="str">
        <f t="shared" si="3"/>
        <v/>
      </c>
      <c r="N87" t="str">
        <f t="shared" si="4"/>
        <v/>
      </c>
      <c r="O87" s="1" t="str">
        <f t="shared" si="5"/>
        <v/>
      </c>
    </row>
    <row r="88" spans="1:15" x14ac:dyDescent="0.25">
      <c r="A88" t="s">
        <v>93</v>
      </c>
      <c r="B88" t="s">
        <v>57</v>
      </c>
      <c r="C88" t="s">
        <v>30</v>
      </c>
      <c r="D88" t="s">
        <v>25</v>
      </c>
      <c r="E88" t="s">
        <v>35</v>
      </c>
      <c r="F88" t="s">
        <v>210</v>
      </c>
      <c r="G88" t="s">
        <v>211</v>
      </c>
      <c r="H88" t="s">
        <v>84</v>
      </c>
      <c r="I88" s="4">
        <v>46001</v>
      </c>
      <c r="J88" s="4">
        <v>46030</v>
      </c>
      <c r="L88" s="1" t="str">
        <f t="shared" si="3"/>
        <v/>
      </c>
      <c r="N88" t="str">
        <f t="shared" si="4"/>
        <v/>
      </c>
      <c r="O88" s="1" t="str">
        <f t="shared" si="5"/>
        <v/>
      </c>
    </row>
    <row r="89" spans="1:15" x14ac:dyDescent="0.25">
      <c r="A89" t="s">
        <v>93</v>
      </c>
      <c r="B89" t="s">
        <v>57</v>
      </c>
      <c r="C89" t="s">
        <v>34</v>
      </c>
      <c r="D89" t="s">
        <v>25</v>
      </c>
      <c r="E89" t="s">
        <v>31</v>
      </c>
      <c r="F89" t="s">
        <v>212</v>
      </c>
      <c r="G89" t="s">
        <v>213</v>
      </c>
      <c r="H89" t="s">
        <v>22</v>
      </c>
      <c r="I89" s="4"/>
      <c r="J89" s="4"/>
      <c r="L89" s="1" t="str">
        <f t="shared" si="3"/>
        <v/>
      </c>
      <c r="N89" t="str">
        <f t="shared" si="4"/>
        <v/>
      </c>
      <c r="O89" s="1" t="str">
        <f t="shared" si="5"/>
        <v/>
      </c>
    </row>
    <row r="90" spans="1:15" x14ac:dyDescent="0.25">
      <c r="A90" t="s">
        <v>93</v>
      </c>
      <c r="B90" t="s">
        <v>57</v>
      </c>
      <c r="C90" t="s">
        <v>38</v>
      </c>
      <c r="D90" t="s">
        <v>25</v>
      </c>
      <c r="E90" t="s">
        <v>19</v>
      </c>
      <c r="F90" t="s">
        <v>214</v>
      </c>
      <c r="G90" t="s">
        <v>215</v>
      </c>
      <c r="H90" t="s">
        <v>29</v>
      </c>
      <c r="I90" s="4">
        <v>45990</v>
      </c>
      <c r="J90" s="4">
        <v>46003</v>
      </c>
      <c r="K90" s="4">
        <v>46006</v>
      </c>
      <c r="L90" s="1" t="str">
        <f t="shared" si="3"/>
        <v>Sprint 4</v>
      </c>
      <c r="N90">
        <f t="shared" si="4"/>
        <v>17</v>
      </c>
      <c r="O90" s="1" t="str">
        <f t="shared" si="5"/>
        <v>Late</v>
      </c>
    </row>
    <row r="91" spans="1:15" x14ac:dyDescent="0.25">
      <c r="A91" t="s">
        <v>93</v>
      </c>
      <c r="B91" t="s">
        <v>57</v>
      </c>
      <c r="C91" t="s">
        <v>34</v>
      </c>
      <c r="D91" t="s">
        <v>18</v>
      </c>
      <c r="E91" t="s">
        <v>26</v>
      </c>
      <c r="F91" t="s">
        <v>216</v>
      </c>
      <c r="G91" t="s">
        <v>217</v>
      </c>
      <c r="H91" t="s">
        <v>29</v>
      </c>
      <c r="I91" s="4">
        <v>46022</v>
      </c>
      <c r="J91" s="4">
        <v>46041</v>
      </c>
      <c r="K91" s="4">
        <v>46041</v>
      </c>
      <c r="L91" s="1" t="str">
        <f t="shared" si="3"/>
        <v>Sprint 6</v>
      </c>
      <c r="N91">
        <f t="shared" si="4"/>
        <v>20</v>
      </c>
      <c r="O91" s="1" t="str">
        <f t="shared" si="5"/>
        <v>On time</v>
      </c>
    </row>
    <row r="92" spans="1:15" x14ac:dyDescent="0.25">
      <c r="A92" t="s">
        <v>93</v>
      </c>
      <c r="B92" t="s">
        <v>57</v>
      </c>
      <c r="C92" t="s">
        <v>30</v>
      </c>
      <c r="D92" t="s">
        <v>18</v>
      </c>
      <c r="E92" t="s">
        <v>31</v>
      </c>
      <c r="F92" t="s">
        <v>218</v>
      </c>
      <c r="G92" t="s">
        <v>219</v>
      </c>
      <c r="H92" t="s">
        <v>55</v>
      </c>
      <c r="I92" s="4">
        <v>45967</v>
      </c>
      <c r="J92" s="4">
        <v>45987</v>
      </c>
      <c r="L92" s="1" t="str">
        <f t="shared" si="3"/>
        <v/>
      </c>
      <c r="M92" t="s">
        <v>220</v>
      </c>
      <c r="N92" t="str">
        <f t="shared" si="4"/>
        <v/>
      </c>
      <c r="O92" s="1" t="str">
        <f t="shared" si="5"/>
        <v/>
      </c>
    </row>
    <row r="93" spans="1:15" x14ac:dyDescent="0.25">
      <c r="A93" t="s">
        <v>93</v>
      </c>
      <c r="B93" t="s">
        <v>57</v>
      </c>
      <c r="C93" t="s">
        <v>24</v>
      </c>
      <c r="D93" t="s">
        <v>25</v>
      </c>
      <c r="E93" t="s">
        <v>35</v>
      </c>
      <c r="F93" t="s">
        <v>221</v>
      </c>
      <c r="G93" t="s">
        <v>222</v>
      </c>
      <c r="H93" t="s">
        <v>22</v>
      </c>
      <c r="L93" s="1" t="str">
        <f t="shared" si="3"/>
        <v/>
      </c>
      <c r="N93" t="str">
        <f t="shared" si="4"/>
        <v/>
      </c>
      <c r="O93" s="1" t="str">
        <f t="shared" si="5"/>
        <v/>
      </c>
    </row>
    <row r="94" spans="1:15" x14ac:dyDescent="0.25">
      <c r="A94" t="s">
        <v>93</v>
      </c>
      <c r="B94" t="s">
        <v>57</v>
      </c>
      <c r="C94" t="s">
        <v>38</v>
      </c>
      <c r="D94" t="s">
        <v>25</v>
      </c>
      <c r="E94" t="s">
        <v>19</v>
      </c>
      <c r="F94" t="s">
        <v>223</v>
      </c>
      <c r="G94" t="s">
        <v>224</v>
      </c>
      <c r="H94" t="s">
        <v>29</v>
      </c>
      <c r="I94" s="4">
        <v>46021</v>
      </c>
      <c r="J94" s="4">
        <v>46036</v>
      </c>
      <c r="K94" s="4">
        <v>46036</v>
      </c>
      <c r="L94" s="1" t="str">
        <f t="shared" si="3"/>
        <v>Sprint 6</v>
      </c>
      <c r="N94">
        <f t="shared" si="4"/>
        <v>16</v>
      </c>
      <c r="O94" s="1" t="str">
        <f t="shared" si="5"/>
        <v>On time</v>
      </c>
    </row>
    <row r="95" spans="1:15" x14ac:dyDescent="0.25">
      <c r="A95" t="s">
        <v>93</v>
      </c>
      <c r="B95" t="s">
        <v>57</v>
      </c>
      <c r="C95" t="s">
        <v>17</v>
      </c>
      <c r="D95" t="s">
        <v>25</v>
      </c>
      <c r="E95" t="s">
        <v>19</v>
      </c>
      <c r="F95" t="s">
        <v>225</v>
      </c>
      <c r="G95" t="s">
        <v>226</v>
      </c>
      <c r="H95" t="s">
        <v>29</v>
      </c>
      <c r="I95" s="4">
        <v>46027</v>
      </c>
      <c r="J95" s="4">
        <v>46039</v>
      </c>
      <c r="K95" s="4">
        <v>46039</v>
      </c>
      <c r="L95" s="1" t="str">
        <f t="shared" si="3"/>
        <v>Sprint 6</v>
      </c>
      <c r="N95">
        <f t="shared" si="4"/>
        <v>13</v>
      </c>
      <c r="O95" s="1" t="str">
        <f t="shared" si="5"/>
        <v>On time</v>
      </c>
    </row>
    <row r="96" spans="1:15" x14ac:dyDescent="0.25">
      <c r="A96" t="s">
        <v>93</v>
      </c>
      <c r="B96" t="s">
        <v>57</v>
      </c>
      <c r="C96" t="s">
        <v>38</v>
      </c>
      <c r="D96" t="s">
        <v>25</v>
      </c>
      <c r="E96" t="s">
        <v>19</v>
      </c>
      <c r="F96" t="s">
        <v>227</v>
      </c>
      <c r="G96" t="s">
        <v>228</v>
      </c>
      <c r="H96" t="s">
        <v>29</v>
      </c>
      <c r="I96" s="4">
        <v>46032</v>
      </c>
      <c r="J96" s="4">
        <v>46036</v>
      </c>
      <c r="K96" s="4">
        <v>46036</v>
      </c>
      <c r="L96" s="1" t="str">
        <f t="shared" si="3"/>
        <v>Sprint 6</v>
      </c>
      <c r="N96">
        <f t="shared" si="4"/>
        <v>5</v>
      </c>
      <c r="O96" s="1" t="str">
        <f t="shared" si="5"/>
        <v>On time</v>
      </c>
    </row>
    <row r="97" spans="1:15" x14ac:dyDescent="0.25">
      <c r="A97" t="s">
        <v>93</v>
      </c>
      <c r="B97" t="s">
        <v>57</v>
      </c>
      <c r="C97" t="s">
        <v>24</v>
      </c>
      <c r="D97" t="s">
        <v>25</v>
      </c>
      <c r="E97" t="s">
        <v>26</v>
      </c>
      <c r="F97" t="s">
        <v>229</v>
      </c>
      <c r="G97" t="s">
        <v>230</v>
      </c>
      <c r="H97" t="s">
        <v>84</v>
      </c>
      <c r="I97" s="4">
        <v>45999</v>
      </c>
      <c r="J97" s="4">
        <v>46028</v>
      </c>
      <c r="L97" s="1" t="str">
        <f t="shared" si="3"/>
        <v/>
      </c>
      <c r="N97" t="str">
        <f t="shared" si="4"/>
        <v/>
      </c>
      <c r="O97" s="1" t="str">
        <f t="shared" si="5"/>
        <v/>
      </c>
    </row>
    <row r="98" spans="1:15" x14ac:dyDescent="0.25">
      <c r="A98" t="s">
        <v>93</v>
      </c>
      <c r="B98" t="s">
        <v>57</v>
      </c>
      <c r="C98" t="s">
        <v>30</v>
      </c>
      <c r="D98" t="s">
        <v>25</v>
      </c>
      <c r="E98" t="s">
        <v>26</v>
      </c>
      <c r="F98" t="s">
        <v>231</v>
      </c>
      <c r="G98" t="s">
        <v>232</v>
      </c>
      <c r="H98" t="s">
        <v>29</v>
      </c>
      <c r="I98" s="4">
        <v>46033</v>
      </c>
      <c r="J98" s="4">
        <v>46036</v>
      </c>
      <c r="K98" s="4">
        <v>46036</v>
      </c>
      <c r="L98" s="1" t="str">
        <f t="shared" si="3"/>
        <v>Sprint 6</v>
      </c>
      <c r="N98">
        <f t="shared" si="4"/>
        <v>4</v>
      </c>
      <c r="O98" s="1" t="str">
        <f t="shared" si="5"/>
        <v>On time</v>
      </c>
    </row>
    <row r="99" spans="1:15" x14ac:dyDescent="0.25">
      <c r="A99" t="s">
        <v>93</v>
      </c>
      <c r="B99" t="s">
        <v>57</v>
      </c>
      <c r="C99" t="s">
        <v>34</v>
      </c>
      <c r="D99" t="s">
        <v>25</v>
      </c>
      <c r="E99" t="s">
        <v>31</v>
      </c>
      <c r="F99" t="s">
        <v>233</v>
      </c>
      <c r="G99" t="s">
        <v>234</v>
      </c>
      <c r="H99" t="s">
        <v>29</v>
      </c>
      <c r="I99" s="4">
        <v>46024</v>
      </c>
      <c r="J99" s="4">
        <v>46036</v>
      </c>
      <c r="K99" s="4">
        <v>46036</v>
      </c>
      <c r="L99" s="1" t="str">
        <f t="shared" si="3"/>
        <v>Sprint 6</v>
      </c>
      <c r="N99">
        <f t="shared" si="4"/>
        <v>13</v>
      </c>
      <c r="O99" s="1" t="str">
        <f t="shared" si="5"/>
        <v>On time</v>
      </c>
    </row>
    <row r="100" spans="1:15" ht="30" x14ac:dyDescent="0.25">
      <c r="A100" t="s">
        <v>93</v>
      </c>
      <c r="B100" t="s">
        <v>16</v>
      </c>
      <c r="C100" t="s">
        <v>17</v>
      </c>
      <c r="D100" t="s">
        <v>25</v>
      </c>
      <c r="E100" t="s">
        <v>35</v>
      </c>
      <c r="F100" t="s">
        <v>235</v>
      </c>
      <c r="G100" s="1" t="s">
        <v>236</v>
      </c>
      <c r="H100" t="s">
        <v>29</v>
      </c>
      <c r="I100" s="4">
        <v>46036</v>
      </c>
      <c r="J100" s="4">
        <v>46036</v>
      </c>
      <c r="K100" s="4">
        <v>46036</v>
      </c>
      <c r="L100" s="1" t="str">
        <f t="shared" si="3"/>
        <v>Sprint 6</v>
      </c>
      <c r="N100">
        <f t="shared" si="4"/>
        <v>1</v>
      </c>
      <c r="O100" s="1" t="str">
        <f t="shared" si="5"/>
        <v>On time</v>
      </c>
    </row>
  </sheetData>
  <conditionalFormatting sqref="B1:B1048576">
    <cfRule type="cellIs" dxfId="6" priority="7" operator="equal">
      <formula>"Uncommitted"</formula>
    </cfRule>
  </conditionalFormatting>
  <conditionalFormatting sqref="E1:E1048576">
    <cfRule type="cellIs" dxfId="5" priority="5" operator="equal">
      <formula>"P2 (High)"</formula>
    </cfRule>
    <cfRule type="cellIs" dxfId="4" priority="6" operator="equal">
      <formula>"P1 (Critical)"</formula>
    </cfRule>
  </conditionalFormatting>
  <conditionalFormatting sqref="H1:H1048576">
    <cfRule type="cellIs" dxfId="3" priority="1" operator="equal">
      <formula>"New"</formula>
    </cfRule>
    <cfRule type="cellIs" dxfId="2" priority="2" operator="equal">
      <formula>"Cancelled"</formula>
    </cfRule>
    <cfRule type="cellIs" dxfId="1" priority="3" operator="equal">
      <formula>"On Hold"</formula>
    </cfRule>
    <cfRule type="cellIs" dxfId="0" priority="4" operator="equal">
      <formula>"Closed"</formula>
    </cfRule>
  </conditionalFormatting>
  <dataValidations count="5">
    <dataValidation type="list" allowBlank="1" showInputMessage="1" showErrorMessage="1" promptTitle="Request Received" prompt="Was the request received before or after PI planning?" sqref="A2:A100" xr:uid="{81AEE99A-5BAD-4BCB-AA1A-F2ED3D25BCF8}">
      <formula1>"Before, After"</formula1>
    </dataValidation>
    <dataValidation type="list" allowBlank="1" showInputMessage="1" showErrorMessage="1" promptTitle="Committed" prompt="Was this task a committed or uncommitted task for the PI? " sqref="B2:B100" xr:uid="{61A9C9F3-C11D-42AA-BBB3-92D811B42ABB}">
      <formula1>"Committed, Uncommitted"</formula1>
    </dataValidation>
    <dataValidation type="list" allowBlank="1" showInputMessage="1" showErrorMessage="1" promptTitle="Issue Type" prompt="Enter the issue type" sqref="D2:D100" xr:uid="{CBB35B70-7E0E-4B90-9AF1-D994AE487933}">
      <formula1>"Task, Support Task"</formula1>
    </dataValidation>
    <dataValidation type="list" allowBlank="1" showInputMessage="1" showErrorMessage="1" promptTitle="Priority Level" prompt="Enter the ticket Priority Level" sqref="E2:E100" xr:uid="{147A19C6-8203-418C-A042-157DF4E642D0}">
      <formula1>"P1 (Critical), P2 (High), P3 (Med), P4 (Low)"</formula1>
    </dataValidation>
    <dataValidation type="list" allowBlank="1" showInputMessage="1" showErrorMessage="1" sqref="H2:H100" xr:uid="{6E5124CD-1FD9-46D3-A6D2-614BBD6B449A}">
      <formula1>"WIP, Closed, New, On Hold, Cancelled"</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E9362-9B65-4DAE-B63A-97460D6665C2}">
  <dimension ref="A1:K13"/>
  <sheetViews>
    <sheetView tabSelected="1" workbookViewId="0">
      <selection activeCell="G14" sqref="G14"/>
    </sheetView>
  </sheetViews>
  <sheetFormatPr defaultRowHeight="15" x14ac:dyDescent="0.25"/>
  <cols>
    <col min="1" max="1" width="23.140625" customWidth="1"/>
    <col min="2" max="2" width="22.140625" bestFit="1" customWidth="1"/>
    <col min="4" max="4" width="24" customWidth="1"/>
    <col min="5" max="5" width="14.42578125" customWidth="1"/>
    <col min="8" max="8" width="16.42578125" bestFit="1" customWidth="1"/>
    <col min="9" max="9" width="21.5703125" customWidth="1"/>
    <col min="10" max="10" width="11.5703125" bestFit="1" customWidth="1"/>
    <col min="11" max="11" width="15.28515625" bestFit="1" customWidth="1"/>
  </cols>
  <sheetData>
    <row r="1" spans="1:11" ht="39.75" customHeight="1" x14ac:dyDescent="0.25">
      <c r="A1" s="28" t="s">
        <v>237</v>
      </c>
      <c r="B1" s="28"/>
      <c r="D1" s="29" t="s">
        <v>238</v>
      </c>
      <c r="E1" s="28"/>
      <c r="H1" s="28" t="s">
        <v>239</v>
      </c>
      <c r="I1" s="28"/>
      <c r="J1" s="28"/>
      <c r="K1" s="28"/>
    </row>
    <row r="2" spans="1:11" ht="29.25" customHeight="1" x14ac:dyDescent="0.25">
      <c r="A2" s="3" t="s">
        <v>240</v>
      </c>
      <c r="B2" s="13">
        <f>AVERAGE(I3:I7)</f>
        <v>12.600660450660451</v>
      </c>
      <c r="D2" s="2" t="s">
        <v>241</v>
      </c>
      <c r="E2" s="3">
        <f>COUNTIFS(Raw_Ticket_Data!H$2:H$200, "Closed", Raw_Ticket_Data!L$2:L$200, "Sprint 1")</f>
        <v>7</v>
      </c>
      <c r="H2" s="14" t="s">
        <v>242</v>
      </c>
      <c r="I2" s="14" t="s">
        <v>243</v>
      </c>
      <c r="J2" s="14" t="s">
        <v>244</v>
      </c>
      <c r="K2" s="14" t="s">
        <v>245</v>
      </c>
    </row>
    <row r="3" spans="1:11" x14ac:dyDescent="0.25">
      <c r="A3" s="2" t="s">
        <v>244</v>
      </c>
      <c r="B3" s="2">
        <f>COUNTIF(Raw_Ticket_Data!H2:H200, "WIP")</f>
        <v>22</v>
      </c>
      <c r="D3" s="2" t="s">
        <v>246</v>
      </c>
      <c r="E3" s="3">
        <f>COUNTIFS(Raw_Ticket_Data!H$2:H$200, "Closed", Raw_Ticket_Data!L$2:L$200, "Sprint 2")</f>
        <v>6</v>
      </c>
      <c r="H3" s="2" t="s">
        <v>30</v>
      </c>
      <c r="I3" s="13">
        <f>AVERAGEIFS(Raw_Ticket_Data!N:N, Raw_Ticket_Data!C:C, "Dev 1")</f>
        <v>9.7777777777777786</v>
      </c>
      <c r="J3" s="2">
        <f>COUNTIFS(Raw_Ticket_Data!$C:$C, "Dev 1",Raw_Ticket_Data!$H:$H, "WIP")</f>
        <v>5</v>
      </c>
      <c r="K3" s="2">
        <f>COUNTIFS(Raw_Ticket_Data!$C:$C, "Dev 1",Raw_Ticket_Data!$H:$H, "Closed")</f>
        <v>9</v>
      </c>
    </row>
    <row r="4" spans="1:11" x14ac:dyDescent="0.25">
      <c r="A4" s="2" t="s">
        <v>247</v>
      </c>
      <c r="B4" s="2">
        <f>COUNTIF(Raw_Ticket_Data!H2:H200, "Closed")</f>
        <v>50</v>
      </c>
      <c r="D4" s="2" t="s">
        <v>248</v>
      </c>
      <c r="E4" s="3">
        <f>COUNTIFS(Raw_Ticket_Data!H$2:H$200, "Closed", Raw_Ticket_Data!L$2:L$200, "Sprint 3")</f>
        <v>9</v>
      </c>
      <c r="H4" s="2" t="s">
        <v>34</v>
      </c>
      <c r="I4" s="13">
        <f>AVERAGEIFS(Raw_Ticket_Data!N:N, Raw_Ticket_Data!C:C, "Dev 2")</f>
        <v>11.090909090909092</v>
      </c>
      <c r="J4" s="2">
        <f>COUNTIFS(Raw_Ticket_Data!$C:$C, "Dev 2",Raw_Ticket_Data!$H:$H, "WIP")</f>
        <v>3</v>
      </c>
      <c r="K4" s="2">
        <f>COUNTIFS(Raw_Ticket_Data!$C:$C, "Dev 2",Raw_Ticket_Data!$H:$H, "Closed")</f>
        <v>11</v>
      </c>
    </row>
    <row r="5" spans="1:11" x14ac:dyDescent="0.25">
      <c r="A5" s="2" t="s">
        <v>249</v>
      </c>
      <c r="B5" s="2">
        <f>COUNTIF(Raw_Ticket_Data!H2:H200, "On Hold")</f>
        <v>2</v>
      </c>
      <c r="D5" s="2" t="s">
        <v>250</v>
      </c>
      <c r="E5" s="3">
        <f>COUNTIFS(Raw_Ticket_Data!H$2:H$200, "Closed", Raw_Ticket_Data!L$2:L$200, "Sprint 4")</f>
        <v>11</v>
      </c>
      <c r="H5" s="2" t="s">
        <v>17</v>
      </c>
      <c r="I5" s="13">
        <f>AVERAGEIFS(Raw_Ticket_Data!N:N, Raw_Ticket_Data!C:C, "Dev 3")</f>
        <v>12.333333333333334</v>
      </c>
      <c r="J5" s="2">
        <f>COUNTIFS(Raw_Ticket_Data!$C:$C, "Dev 3",Raw_Ticket_Data!$H:$H, "WIP")</f>
        <v>5</v>
      </c>
      <c r="K5" s="2">
        <f>COUNTIFS(Raw_Ticket_Data!$C:$C, "Dev 3",Raw_Ticket_Data!$H:$H, "Closed")</f>
        <v>6</v>
      </c>
    </row>
    <row r="6" spans="1:11" x14ac:dyDescent="0.25">
      <c r="A6" s="2" t="s">
        <v>251</v>
      </c>
      <c r="B6" s="2">
        <f>COUNTIF(Raw_Ticket_Data!H2:H200, "New")</f>
        <v>24</v>
      </c>
      <c r="D6" s="2" t="s">
        <v>252</v>
      </c>
      <c r="E6" s="3">
        <f>COUNTIFS(Raw_Ticket_Data!H$2:H$200, "Closed", Raw_Ticket_Data!L$2:L$200, "Sprint 5")</f>
        <v>6</v>
      </c>
      <c r="H6" s="2" t="s">
        <v>38</v>
      </c>
      <c r="I6" s="13">
        <f>AVERAGEIFS(Raw_Ticket_Data!N:N, Raw_Ticket_Data!C:C, "Dev 4")</f>
        <v>13.416666666666666</v>
      </c>
      <c r="J6" s="2">
        <f>COUNTIFS(Raw_Ticket_Data!$C:$C, "Dev 4",Raw_Ticket_Data!$H:$H, "WIP")</f>
        <v>5</v>
      </c>
      <c r="K6" s="2">
        <f>COUNTIFS(Raw_Ticket_Data!$C:$C, "Dev 4",Raw_Ticket_Data!$H:$H, "Closed")</f>
        <v>11</v>
      </c>
    </row>
    <row r="7" spans="1:11" x14ac:dyDescent="0.25">
      <c r="A7" s="2" t="s">
        <v>202</v>
      </c>
      <c r="B7" s="2">
        <f>COUNTIF(Raw_Ticket_Data!H2:H200, "Cancelled")</f>
        <v>1</v>
      </c>
      <c r="D7" s="2" t="s">
        <v>253</v>
      </c>
      <c r="E7" s="3">
        <f>COUNTIFS(Raw_Ticket_Data!H$2:H$200, "Closed", Raw_Ticket_Data!L$2:L$200, "Sprint 6")</f>
        <v>11</v>
      </c>
      <c r="H7" s="2" t="s">
        <v>24</v>
      </c>
      <c r="I7" s="13">
        <f>AVERAGEIFS(Raw_Ticket_Data!N:N, Raw_Ticket_Data!C:C, "Dev 5")</f>
        <v>16.384615384615383</v>
      </c>
      <c r="J7" s="2">
        <f>COUNTIFS(Raw_Ticket_Data!$C:$C, "Dev 5",Raw_Ticket_Data!$H:$H, "WIP")</f>
        <v>4</v>
      </c>
      <c r="K7" s="2">
        <f>COUNTIFS(Raw_Ticket_Data!$C:$C, "Dev 5",Raw_Ticket_Data!$H:$H, "Closed")</f>
        <v>13</v>
      </c>
    </row>
    <row r="9" spans="1:11" x14ac:dyDescent="0.25">
      <c r="A9" s="28" t="s">
        <v>254</v>
      </c>
      <c r="B9" s="28"/>
    </row>
    <row r="10" spans="1:11" x14ac:dyDescent="0.25">
      <c r="A10" s="2" t="s">
        <v>255</v>
      </c>
      <c r="B10" s="2">
        <f>COUNTIF(Raw_Ticket_Data!O$2:O$200, "On time")</f>
        <v>39</v>
      </c>
    </row>
    <row r="11" spans="1:11" x14ac:dyDescent="0.25">
      <c r="A11" s="2" t="s">
        <v>256</v>
      </c>
      <c r="B11" s="2">
        <f>COUNTIF(Raw_Ticket_Data!O$2:O$200, "EARLY")</f>
        <v>6</v>
      </c>
    </row>
    <row r="12" spans="1:11" x14ac:dyDescent="0.25">
      <c r="A12" s="2" t="s">
        <v>257</v>
      </c>
      <c r="B12" s="2">
        <f>COUNTIF(Raw_Ticket_Data!O$2:O$200, "LATE")</f>
        <v>6</v>
      </c>
    </row>
    <row r="13" spans="1:11" x14ac:dyDescent="0.25">
      <c r="A13" s="2" t="s">
        <v>258</v>
      </c>
      <c r="B13" s="2">
        <f>COUNTIF(Raw_Ticket_Data!O$2:O$200, "N/A")</f>
        <v>0</v>
      </c>
    </row>
  </sheetData>
  <mergeCells count="4">
    <mergeCell ref="A1:B1"/>
    <mergeCell ref="D1:E1"/>
    <mergeCell ref="A9:B9"/>
    <mergeCell ref="H1:K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FCACE-CCAE-4DA6-93F3-0C6EF013118E}">
  <dimension ref="A1:H37"/>
  <sheetViews>
    <sheetView zoomScale="80" zoomScaleNormal="80" workbookViewId="0">
      <selection activeCell="Z33" sqref="Z33"/>
    </sheetView>
  </sheetViews>
  <sheetFormatPr defaultRowHeight="15" x14ac:dyDescent="0.25"/>
  <cols>
    <col min="1" max="1" width="29.5703125" customWidth="1"/>
    <col min="3" max="3" width="12" customWidth="1"/>
    <col min="4" max="4" width="9.85546875" customWidth="1"/>
  </cols>
  <sheetData>
    <row r="1" spans="1:7" x14ac:dyDescent="0.25">
      <c r="A1" s="5" t="s">
        <v>259</v>
      </c>
      <c r="B1" s="5" t="s">
        <v>4</v>
      </c>
      <c r="C1" s="5" t="s">
        <v>260</v>
      </c>
      <c r="D1" s="5" t="s">
        <v>261</v>
      </c>
      <c r="E1" s="5" t="s">
        <v>84</v>
      </c>
      <c r="F1" s="5" t="s">
        <v>55</v>
      </c>
      <c r="G1" s="5" t="s">
        <v>29</v>
      </c>
    </row>
    <row r="2" spans="1:7" x14ac:dyDescent="0.25">
      <c r="A2" s="32" t="s">
        <v>262</v>
      </c>
      <c r="B2" s="2" t="s">
        <v>263</v>
      </c>
      <c r="C2" s="3">
        <f>SUM(D2:G2)</f>
        <v>4</v>
      </c>
      <c r="D2" s="3">
        <f>COUNTIFS(Raw_Ticket_Data!$D:$D, "TASK", Raw_Ticket_Data!$A:$A, "BEFORE", Raw_Ticket_Data!$B:$B, "COMMITTED", Raw_Ticket_Data!$E:$E, "P1 (Critical)", Raw_Ticket_Data!$H:$H, "NEW")</f>
        <v>2</v>
      </c>
      <c r="E2" s="3">
        <f>COUNTIFS(Raw_Ticket_Data!$D:$D, "TASK", Raw_Ticket_Data!$A:$A, "BEFORE", Raw_Ticket_Data!$B:$B, "COMMITTED", Raw_Ticket_Data!$E:$E, "P1 (Critical)", Raw_Ticket_Data!$H:$H, "WIP")</f>
        <v>0</v>
      </c>
      <c r="F2" s="3">
        <f>COUNTIFS(Raw_Ticket_Data!$D:$D, "TASK", Raw_Ticket_Data!$A:$A, "BEFORE", Raw_Ticket_Data!$B:$B, "COMMITTED", Raw_Ticket_Data!$E:$E, "P1 (Critical)", Raw_Ticket_Data!$H:$H, "On Hold")</f>
        <v>0</v>
      </c>
      <c r="G2" s="3">
        <f>COUNTIFS(Raw_Ticket_Data!$D:$D, "TASK", Raw_Ticket_Data!$A:$A, "BEFORE", Raw_Ticket_Data!$B:$B, "COMMITTED", Raw_Ticket_Data!$E:$E, "P1 (Critical)", Raw_Ticket_Data!$H:$H, "Closed")</f>
        <v>2</v>
      </c>
    </row>
    <row r="3" spans="1:7" x14ac:dyDescent="0.25">
      <c r="A3" s="32"/>
      <c r="B3" s="2" t="s">
        <v>264</v>
      </c>
      <c r="C3" s="3">
        <f t="shared" ref="C3:C5" si="0">SUM(D3:G3)</f>
        <v>4</v>
      </c>
      <c r="D3" s="3">
        <f>COUNTIFS(Raw_Ticket_Data!$D:$D, "TASK", Raw_Ticket_Data!$A:$A, "BEFORE", Raw_Ticket_Data!$B:$B, "COMMITTED", Raw_Ticket_Data!$E:$E, "P2 (High)", Raw_Ticket_Data!$H:$H, "NEW")</f>
        <v>0</v>
      </c>
      <c r="E3" s="3">
        <f>COUNTIFS(Raw_Ticket_Data!$D:$D, "TASK", Raw_Ticket_Data!$A:$A, "BEFORE", Raw_Ticket_Data!$B:$B, "COMMITTED", Raw_Ticket_Data!$E:$E, "P2 (High)", Raw_Ticket_Data!$H:$H, "WIP")</f>
        <v>0</v>
      </c>
      <c r="F3" s="3">
        <f>COUNTIFS(Raw_Ticket_Data!$D:$D, "TASK", Raw_Ticket_Data!$A:$A, "BEFORE", Raw_Ticket_Data!$B:$B, "COMMITTED", Raw_Ticket_Data!$E:$E, "P2 (High)", Raw_Ticket_Data!$H:$H, "On Hold")</f>
        <v>1</v>
      </c>
      <c r="G3" s="3">
        <f>COUNTIFS(Raw_Ticket_Data!$D:$D, "TASK", Raw_Ticket_Data!$A:$A, "BEFORE", Raw_Ticket_Data!$B:$B, "COMMITTED", Raw_Ticket_Data!$E:$E, "P2 (High)", Raw_Ticket_Data!$H:$H, "Closed")</f>
        <v>3</v>
      </c>
    </row>
    <row r="4" spans="1:7" x14ac:dyDescent="0.25">
      <c r="A4" s="32"/>
      <c r="B4" s="2" t="s">
        <v>265</v>
      </c>
      <c r="C4" s="3">
        <f t="shared" si="0"/>
        <v>6</v>
      </c>
      <c r="D4" s="3">
        <f>COUNTIFS(Raw_Ticket_Data!$D:$D, "TASK", Raw_Ticket_Data!$A:$A, "BEFORE", Raw_Ticket_Data!$B:$B, "COMMITTED", Raw_Ticket_Data!$E:$E, "P3 (Med)", Raw_Ticket_Data!$H:$H, "NEW")</f>
        <v>2</v>
      </c>
      <c r="E4" s="3">
        <f>COUNTIFS(Raw_Ticket_Data!$D:$D, "TASK", Raw_Ticket_Data!$A:$A, "BEFORE", Raw_Ticket_Data!$B:$B, "COMMITTED", Raw_Ticket_Data!$E:$E, "P3 (Med)", Raw_Ticket_Data!$H:$H, "WIP")</f>
        <v>1</v>
      </c>
      <c r="F4" s="3">
        <f>COUNTIFS(Raw_Ticket_Data!$D:$D, "TASK", Raw_Ticket_Data!$A:$A, "BEFORE", Raw_Ticket_Data!$B:$B, "COMMITTED", Raw_Ticket_Data!$E:$E, "P3 (med)", Raw_Ticket_Data!$H:$H, "On Hold")</f>
        <v>0</v>
      </c>
      <c r="G4" s="3">
        <f>COUNTIFS(Raw_Ticket_Data!$D:$D, "TASK", Raw_Ticket_Data!$A:$A, "BEFORE", Raw_Ticket_Data!$B:$B, "COMMITTED", Raw_Ticket_Data!$E:$E, "P3 (med)", Raw_Ticket_Data!$H:$H, "Closed")</f>
        <v>3</v>
      </c>
    </row>
    <row r="5" spans="1:7" x14ac:dyDescent="0.25">
      <c r="A5" s="32"/>
      <c r="B5" s="2" t="s">
        <v>266</v>
      </c>
      <c r="C5" s="3">
        <f t="shared" si="0"/>
        <v>5</v>
      </c>
      <c r="D5" s="3">
        <f>COUNTIFS(Raw_Ticket_Data!$D:$D, "TASK", Raw_Ticket_Data!$A:$A, "BEFORE", Raw_Ticket_Data!$B:$B, "COMMITTED", Raw_Ticket_Data!$E:$E, "P4 (Low)", Raw_Ticket_Data!$H:$H, "NEW")</f>
        <v>1</v>
      </c>
      <c r="E5" s="3">
        <f>COUNTIFS(Raw_Ticket_Data!$D:$D, "TASK", Raw_Ticket_Data!$A:$A, "BEFORE", Raw_Ticket_Data!$B:$B, "COMMITTED", Raw_Ticket_Data!$E:$E, "P4 (Low)", Raw_Ticket_Data!$H:$H, "WIP")</f>
        <v>0</v>
      </c>
      <c r="F5" s="3">
        <f>COUNTIFS(Raw_Ticket_Data!$D:$D, "TASK", Raw_Ticket_Data!$A:$A, "BEFORE", Raw_Ticket_Data!$B:$B, "COMMITTED", Raw_Ticket_Data!$E:$E, "P4 (Low)", Raw_Ticket_Data!$H:$H, "On Hold")</f>
        <v>0</v>
      </c>
      <c r="G5" s="3">
        <f>COUNTIFS(Raw_Ticket_Data!$D:$D, "TASK", Raw_Ticket_Data!$A:$A, "BEFORE", Raw_Ticket_Data!$B:$B, "COMMITTED", Raw_Ticket_Data!$E:$E, "P4 (Low)", Raw_Ticket_Data!$H:$H, "Closed")</f>
        <v>4</v>
      </c>
    </row>
    <row r="6" spans="1:7" x14ac:dyDescent="0.25">
      <c r="A6" s="32"/>
      <c r="B6" s="6" t="s">
        <v>260</v>
      </c>
      <c r="C6" s="6">
        <f>SUM(D6:G6)</f>
        <v>19</v>
      </c>
      <c r="D6" s="6">
        <f t="shared" ref="D6:G6" si="1">SUM(D2:D5)</f>
        <v>5</v>
      </c>
      <c r="E6" s="6">
        <f t="shared" si="1"/>
        <v>1</v>
      </c>
      <c r="F6" s="6">
        <f t="shared" si="1"/>
        <v>1</v>
      </c>
      <c r="G6" s="6">
        <f t="shared" si="1"/>
        <v>12</v>
      </c>
    </row>
    <row r="7" spans="1:7" x14ac:dyDescent="0.25">
      <c r="A7" s="2"/>
      <c r="B7" s="2"/>
      <c r="C7" s="2"/>
      <c r="D7" s="2"/>
      <c r="E7" s="2"/>
      <c r="F7" s="2"/>
      <c r="G7" s="2"/>
    </row>
    <row r="8" spans="1:7" x14ac:dyDescent="0.25">
      <c r="A8" s="33" t="s">
        <v>267</v>
      </c>
      <c r="B8" s="2" t="s">
        <v>263</v>
      </c>
      <c r="C8" s="2">
        <f>SUM(D8:G8)</f>
        <v>8</v>
      </c>
      <c r="D8" s="3">
        <f>COUNTIFS(Raw_Ticket_Data!$D:$D, "TASK", Raw_Ticket_Data!$A:$A, "After", Raw_Ticket_Data!$B:$B, "Uncommitted", Raw_Ticket_Data!$E:$E, "P1 (Critical)", Raw_Ticket_Data!$H:$H, "NEW")</f>
        <v>3</v>
      </c>
      <c r="E8" s="3">
        <f>COUNTIFS(Raw_Ticket_Data!$D:$D, "TASK", Raw_Ticket_Data!$A:$A, "After", Raw_Ticket_Data!$B:$B, "Uncommitted", Raw_Ticket_Data!$E:$E, "P1 (Critical)", Raw_Ticket_Data!$H:$H, "WIP")</f>
        <v>4</v>
      </c>
      <c r="F8" s="3">
        <f>COUNTIFS(Raw_Ticket_Data!$D:$D, "TASK", Raw_Ticket_Data!$A:$A, "After", Raw_Ticket_Data!$B:$B, "Uncommitted", Raw_Ticket_Data!$E:$E, "P1 (Critical)", Raw_Ticket_Data!$H:$H, "On Hold")</f>
        <v>0</v>
      </c>
      <c r="G8" s="3">
        <f>COUNTIFS(Raw_Ticket_Data!$D:$D, "TASK", Raw_Ticket_Data!$A:$A, "After", Raw_Ticket_Data!$B:$B, "Uncommitted", Raw_Ticket_Data!$E:$E, "P1 (Critical)", Raw_Ticket_Data!$H:$H, "Closed")</f>
        <v>1</v>
      </c>
    </row>
    <row r="9" spans="1:7" x14ac:dyDescent="0.25">
      <c r="A9" s="34"/>
      <c r="B9" s="2" t="s">
        <v>264</v>
      </c>
      <c r="C9" s="2">
        <f t="shared" ref="C9:C11" si="2">SUM(D9:G9)</f>
        <v>15</v>
      </c>
      <c r="D9" s="3">
        <f>COUNTIFS(Raw_Ticket_Data!$D:$D, "TASK", Raw_Ticket_Data!$A:$A, "After", Raw_Ticket_Data!$B:$B, "Uncommitted", Raw_Ticket_Data!$E:$E, "P2 (High)", Raw_Ticket_Data!$H:$H, "NEW")</f>
        <v>0</v>
      </c>
      <c r="E9" s="3">
        <f>COUNTIFS(Raw_Ticket_Data!$D:$D, "TASK", Raw_Ticket_Data!$A:$A, "After", Raw_Ticket_Data!$B:$B, "Uncommitted", Raw_Ticket_Data!$E:$E, "P2 (High)", Raw_Ticket_Data!$H:$H, "WIP")</f>
        <v>3</v>
      </c>
      <c r="F9" s="3">
        <f>COUNTIFS(Raw_Ticket_Data!$D:$D, "TASK", Raw_Ticket_Data!$A:$A, "After", Raw_Ticket_Data!$B:$B, "Uncommitted", Raw_Ticket_Data!$E:$E, "P2 (High)", Raw_Ticket_Data!$H:$H, "On Hold")</f>
        <v>0</v>
      </c>
      <c r="G9" s="3">
        <f>COUNTIFS(Raw_Ticket_Data!$D:$D, "TASK", Raw_Ticket_Data!$A:$A, "After", Raw_Ticket_Data!$B:$B, "Uncommitted", Raw_Ticket_Data!$E:$E, "P2 (High)", Raw_Ticket_Data!$H:$H, "Closed")</f>
        <v>12</v>
      </c>
    </row>
    <row r="10" spans="1:7" x14ac:dyDescent="0.25">
      <c r="A10" s="34"/>
      <c r="B10" s="2" t="s">
        <v>265</v>
      </c>
      <c r="C10" s="2">
        <f t="shared" si="2"/>
        <v>12</v>
      </c>
      <c r="D10" s="3">
        <f>COUNTIFS(Raw_Ticket_Data!$D:$D, "TASK", Raw_Ticket_Data!$A:$A, "After", Raw_Ticket_Data!$B:$B, "Uncommitted", Raw_Ticket_Data!$E:$E, "P3 (Med)", Raw_Ticket_Data!$H:$H, "NEW")</f>
        <v>2</v>
      </c>
      <c r="E10" s="3">
        <f>COUNTIFS(Raw_Ticket_Data!$D:$D, "TASK", Raw_Ticket_Data!$A:$A, "After", Raw_Ticket_Data!$B:$B, "Uncommitted", Raw_Ticket_Data!$E:$E, "P3 (Med)", Raw_Ticket_Data!$H:$H, "WIP")</f>
        <v>7</v>
      </c>
      <c r="F10" s="3">
        <f>COUNTIFS(Raw_Ticket_Data!$D:$D, "TASK", Raw_Ticket_Data!$A:$A, "After", Raw_Ticket_Data!$B:$B, "Uncommitted", Raw_Ticket_Data!$E:$E, "P3 (med)", Raw_Ticket_Data!$H:$H, "On Hold")</f>
        <v>0</v>
      </c>
      <c r="G10" s="3">
        <f>COUNTIFS(Raw_Ticket_Data!$D:$D, "TASK", Raw_Ticket_Data!$A:$A, "After", Raw_Ticket_Data!$B:$B, "Uncommitted", Raw_Ticket_Data!$E:$E, "P3 (med)", Raw_Ticket_Data!$H:$H, "Closed")</f>
        <v>3</v>
      </c>
    </row>
    <row r="11" spans="1:7" x14ac:dyDescent="0.25">
      <c r="A11" s="34"/>
      <c r="B11" s="2" t="s">
        <v>266</v>
      </c>
      <c r="C11" s="2">
        <f t="shared" si="2"/>
        <v>10</v>
      </c>
      <c r="D11" s="3">
        <f>COUNTIFS(Raw_Ticket_Data!$D:$D, "TASK", Raw_Ticket_Data!$A:$A, "After", Raw_Ticket_Data!$B:$B, "Uncommitted", Raw_Ticket_Data!$E:$E, "P4 (Low)", Raw_Ticket_Data!$H:$H, "NEW")</f>
        <v>7</v>
      </c>
      <c r="E11" s="3">
        <f>COUNTIFS(Raw_Ticket_Data!$D:$D, "TASK", Raw_Ticket_Data!$A:$A, "After", Raw_Ticket_Data!$B:$B, "Uncommitted", Raw_Ticket_Data!$E:$E, "P4 (Low)", Raw_Ticket_Data!$H:$H, "WIP")</f>
        <v>0</v>
      </c>
      <c r="F11" s="3">
        <f>COUNTIFS(Raw_Ticket_Data!$D:$D, "TASK", Raw_Ticket_Data!$A:$A, "After", Raw_Ticket_Data!$B:$B, "Uncommitted", Raw_Ticket_Data!$E:$E, "P4 (Low)", Raw_Ticket_Data!$H:$H, "On Hold")</f>
        <v>0</v>
      </c>
      <c r="G11" s="3">
        <f>COUNTIFS(Raw_Ticket_Data!$D:$D, "TASK", Raw_Ticket_Data!$A:$A, "After", Raw_Ticket_Data!$B:$B, "Uncommitted", Raw_Ticket_Data!$E:$E, "P4 (Low)", Raw_Ticket_Data!$H:$H, "Closed")</f>
        <v>3</v>
      </c>
    </row>
    <row r="12" spans="1:7" x14ac:dyDescent="0.25">
      <c r="A12" s="34"/>
      <c r="B12" s="6" t="s">
        <v>260</v>
      </c>
      <c r="C12" s="6">
        <f>SUM(C8:C11)</f>
        <v>45</v>
      </c>
      <c r="D12" s="6">
        <f t="shared" ref="D12:G12" si="3">SUM(D8:D11)</f>
        <v>12</v>
      </c>
      <c r="E12" s="6">
        <f t="shared" si="3"/>
        <v>14</v>
      </c>
      <c r="F12" s="6">
        <f t="shared" si="3"/>
        <v>0</v>
      </c>
      <c r="G12" s="6">
        <f t="shared" si="3"/>
        <v>19</v>
      </c>
    </row>
    <row r="13" spans="1:7" x14ac:dyDescent="0.25">
      <c r="A13" s="8"/>
      <c r="B13" s="8"/>
      <c r="C13" s="8"/>
      <c r="D13" s="8"/>
      <c r="E13" s="8"/>
      <c r="F13" s="8"/>
      <c r="G13" s="8"/>
    </row>
    <row r="14" spans="1:7" x14ac:dyDescent="0.25">
      <c r="A14" s="10" t="s">
        <v>268</v>
      </c>
      <c r="B14" s="7" t="s">
        <v>260</v>
      </c>
      <c r="C14" s="7">
        <f>SUM(D14:G14)</f>
        <v>33</v>
      </c>
      <c r="D14" s="11">
        <f>COUNTIFS(Raw_Ticket_Data!$D:$D, "Support Task", Raw_Ticket_Data!$H:$H, "New")</f>
        <v>7</v>
      </c>
      <c r="E14" s="11">
        <f>COUNTIFS(Raw_Ticket_Data!$D:$D, "Support Task", Raw_Ticket_Data!$H:$H, "WIP")</f>
        <v>7</v>
      </c>
      <c r="F14" s="11">
        <f>COUNTIFS(Raw_Ticket_Data!$D:$D, "Support Task", Raw_Ticket_Data!$H:$H, "On Hold")</f>
        <v>1</v>
      </c>
      <c r="G14" s="12">
        <f>COUNTIFS(Raw_Ticket_Data!$D:$D, "Support Task", Raw_Ticket_Data!$H:$H, "Closed")</f>
        <v>18</v>
      </c>
    </row>
    <row r="17" spans="2:8" ht="30.75" customHeight="1" x14ac:dyDescent="0.25">
      <c r="B17" s="35" t="s">
        <v>269</v>
      </c>
      <c r="C17" s="35"/>
      <c r="D17" s="35"/>
      <c r="E17" s="35"/>
      <c r="F17" s="35"/>
    </row>
    <row r="18" spans="2:8" x14ac:dyDescent="0.25">
      <c r="B18" s="9"/>
      <c r="C18" s="9" t="str">
        <f t="shared" ref="C18:F22" si="4">D1</f>
        <v>Open</v>
      </c>
      <c r="D18" s="9" t="str">
        <f t="shared" si="4"/>
        <v>WIP</v>
      </c>
      <c r="E18" s="9" t="str">
        <f t="shared" si="4"/>
        <v>On Hold</v>
      </c>
      <c r="F18" s="9" t="str">
        <f t="shared" si="4"/>
        <v>Closed</v>
      </c>
    </row>
    <row r="19" spans="2:8" x14ac:dyDescent="0.25">
      <c r="B19" s="2" t="s">
        <v>263</v>
      </c>
      <c r="C19" s="2">
        <f t="shared" si="4"/>
        <v>2</v>
      </c>
      <c r="D19" s="2">
        <f t="shared" si="4"/>
        <v>0</v>
      </c>
      <c r="E19" s="2">
        <f t="shared" si="4"/>
        <v>0</v>
      </c>
      <c r="F19" s="2">
        <f t="shared" si="4"/>
        <v>2</v>
      </c>
    </row>
    <row r="20" spans="2:8" x14ac:dyDescent="0.25">
      <c r="B20" s="2" t="s">
        <v>264</v>
      </c>
      <c r="C20" s="2">
        <f t="shared" si="4"/>
        <v>0</v>
      </c>
      <c r="D20" s="2">
        <f t="shared" si="4"/>
        <v>0</v>
      </c>
      <c r="E20" s="2">
        <f t="shared" si="4"/>
        <v>1</v>
      </c>
      <c r="F20" s="2">
        <f t="shared" si="4"/>
        <v>3</v>
      </c>
    </row>
    <row r="21" spans="2:8" x14ac:dyDescent="0.25">
      <c r="B21" s="2" t="s">
        <v>265</v>
      </c>
      <c r="C21" s="2">
        <f t="shared" si="4"/>
        <v>2</v>
      </c>
      <c r="D21" s="2">
        <f t="shared" si="4"/>
        <v>1</v>
      </c>
      <c r="E21" s="2">
        <f t="shared" si="4"/>
        <v>0</v>
      </c>
      <c r="F21" s="2">
        <f t="shared" si="4"/>
        <v>3</v>
      </c>
    </row>
    <row r="22" spans="2:8" x14ac:dyDescent="0.25">
      <c r="B22" s="8" t="s">
        <v>266</v>
      </c>
      <c r="C22" s="8">
        <f t="shared" si="4"/>
        <v>1</v>
      </c>
      <c r="D22" s="8">
        <f t="shared" si="4"/>
        <v>0</v>
      </c>
      <c r="E22" s="8">
        <f t="shared" si="4"/>
        <v>0</v>
      </c>
      <c r="F22" s="8">
        <f t="shared" si="4"/>
        <v>4</v>
      </c>
    </row>
    <row r="23" spans="2:8" ht="30.75" customHeight="1" x14ac:dyDescent="0.25">
      <c r="B23" s="35" t="s">
        <v>270</v>
      </c>
      <c r="C23" s="35"/>
      <c r="D23" s="35"/>
      <c r="E23" s="35"/>
      <c r="F23" s="35"/>
    </row>
    <row r="24" spans="2:8" x14ac:dyDescent="0.25">
      <c r="B24" s="9"/>
      <c r="C24" s="9" t="s">
        <v>261</v>
      </c>
      <c r="D24" s="9" t="s">
        <v>84</v>
      </c>
      <c r="E24" s="9" t="s">
        <v>55</v>
      </c>
      <c r="F24" s="9" t="s">
        <v>29</v>
      </c>
    </row>
    <row r="25" spans="2:8" x14ac:dyDescent="0.25">
      <c r="B25" s="2" t="s">
        <v>263</v>
      </c>
      <c r="C25" s="2">
        <f t="shared" ref="C25:F28" si="5">D8</f>
        <v>3</v>
      </c>
      <c r="D25" s="2">
        <f t="shared" si="5"/>
        <v>4</v>
      </c>
      <c r="E25" s="2">
        <f t="shared" si="5"/>
        <v>0</v>
      </c>
      <c r="F25" s="2">
        <f t="shared" si="5"/>
        <v>1</v>
      </c>
    </row>
    <row r="26" spans="2:8" x14ac:dyDescent="0.25">
      <c r="B26" s="2" t="s">
        <v>264</v>
      </c>
      <c r="C26" s="2">
        <f t="shared" si="5"/>
        <v>0</v>
      </c>
      <c r="D26" s="2">
        <f t="shared" si="5"/>
        <v>3</v>
      </c>
      <c r="E26" s="2">
        <f t="shared" si="5"/>
        <v>0</v>
      </c>
      <c r="F26" s="2">
        <f t="shared" si="5"/>
        <v>12</v>
      </c>
    </row>
    <row r="27" spans="2:8" x14ac:dyDescent="0.25">
      <c r="B27" s="2" t="s">
        <v>265</v>
      </c>
      <c r="C27" s="2">
        <f t="shared" si="5"/>
        <v>2</v>
      </c>
      <c r="D27" s="2">
        <f t="shared" si="5"/>
        <v>7</v>
      </c>
      <c r="E27" s="2">
        <f t="shared" si="5"/>
        <v>0</v>
      </c>
      <c r="F27" s="2">
        <f t="shared" si="5"/>
        <v>3</v>
      </c>
    </row>
    <row r="28" spans="2:8" x14ac:dyDescent="0.25">
      <c r="B28" s="2" t="s">
        <v>266</v>
      </c>
      <c r="C28" s="2">
        <f t="shared" si="5"/>
        <v>7</v>
      </c>
      <c r="D28" s="2">
        <f t="shared" si="5"/>
        <v>0</v>
      </c>
      <c r="E28" s="2">
        <f t="shared" si="5"/>
        <v>0</v>
      </c>
      <c r="F28" s="2">
        <f t="shared" si="5"/>
        <v>3</v>
      </c>
    </row>
    <row r="29" spans="2:8" ht="15.75" thickBot="1" x14ac:dyDescent="0.3"/>
    <row r="30" spans="2:8" x14ac:dyDescent="0.25">
      <c r="E30" s="36" t="s">
        <v>278</v>
      </c>
      <c r="F30" s="37"/>
      <c r="G30" s="37"/>
      <c r="H30" s="38"/>
    </row>
    <row r="31" spans="2:8" ht="15.75" thickBot="1" x14ac:dyDescent="0.3">
      <c r="B31" s="31" t="s">
        <v>277</v>
      </c>
      <c r="C31" s="31"/>
      <c r="E31" s="39" t="s">
        <v>11</v>
      </c>
      <c r="F31" s="40"/>
      <c r="G31" s="40" t="s">
        <v>279</v>
      </c>
      <c r="H31" s="41"/>
    </row>
    <row r="32" spans="2:8" x14ac:dyDescent="0.25">
      <c r="B32" s="15" t="s">
        <v>271</v>
      </c>
      <c r="C32" s="15">
        <f>Kanban_Metrics!E2</f>
        <v>7</v>
      </c>
      <c r="E32" s="42" t="s">
        <v>271</v>
      </c>
      <c r="F32" s="42"/>
      <c r="G32" s="30">
        <f>AVERAGEIFS(
  Raw_Ticket_Data!N:N,
  Raw_Ticket_Data!H:H, "Closed",
  Raw_Ticket_Data!L:L, "Sprint 1"
)</f>
        <v>9.1428571428571423</v>
      </c>
      <c r="H32" s="30"/>
    </row>
    <row r="33" spans="2:8" x14ac:dyDescent="0.25">
      <c r="B33" s="15" t="s">
        <v>272</v>
      </c>
      <c r="C33" s="15">
        <f>Kanban_Metrics!E3</f>
        <v>6</v>
      </c>
      <c r="E33" s="31" t="s">
        <v>272</v>
      </c>
      <c r="F33" s="31"/>
      <c r="G33" s="30">
        <f>AVERAGEIFS(
  Raw_Ticket_Data!N:N,
  Raw_Ticket_Data!H:H, "Closed",
  Raw_Ticket_Data!L:L, "Sprint 2"
)</f>
        <v>11</v>
      </c>
      <c r="H33" s="30"/>
    </row>
    <row r="34" spans="2:8" x14ac:dyDescent="0.25">
      <c r="B34" s="15" t="s">
        <v>273</v>
      </c>
      <c r="C34" s="15">
        <f>Kanban_Metrics!E4</f>
        <v>9</v>
      </c>
      <c r="E34" s="31" t="s">
        <v>273</v>
      </c>
      <c r="F34" s="31"/>
      <c r="G34" s="30">
        <f>AVERAGEIFS(
  Raw_Ticket_Data!N:N,
  Raw_Ticket_Data!H:H, "Closed",
  Raw_Ticket_Data!L:L, "Sprint 3"
)</f>
        <v>14.333333333333334</v>
      </c>
      <c r="H34" s="30"/>
    </row>
    <row r="35" spans="2:8" x14ac:dyDescent="0.25">
      <c r="B35" s="15" t="s">
        <v>274</v>
      </c>
      <c r="C35" s="15">
        <f>Kanban_Metrics!E5</f>
        <v>11</v>
      </c>
      <c r="E35" s="31" t="s">
        <v>274</v>
      </c>
      <c r="F35" s="31"/>
      <c r="G35" s="30">
        <f>AVERAGEIFS(
  Raw_Ticket_Data!N:N,
  Raw_Ticket_Data!H:H, "Closed",
  Raw_Ticket_Data!L:L, "Sprint 4"
)</f>
        <v>13.090909090909092</v>
      </c>
      <c r="H35" s="30"/>
    </row>
    <row r="36" spans="2:8" x14ac:dyDescent="0.25">
      <c r="B36" s="15" t="s">
        <v>275</v>
      </c>
      <c r="C36" s="15">
        <f>Kanban_Metrics!E6</f>
        <v>6</v>
      </c>
      <c r="E36" s="31" t="s">
        <v>275</v>
      </c>
      <c r="F36" s="31"/>
      <c r="G36" s="30">
        <f>AVERAGEIFS(
  Raw_Ticket_Data!N:N,
  Raw_Ticket_Data!H:H, "Closed",
  Raw_Ticket_Data!L:L, "Sprint 5"
)</f>
        <v>14.333333333333334</v>
      </c>
      <c r="H36" s="30"/>
    </row>
    <row r="37" spans="2:8" x14ac:dyDescent="0.25">
      <c r="B37" s="15" t="s">
        <v>276</v>
      </c>
      <c r="C37" s="15">
        <f>Kanban_Metrics!E7</f>
        <v>11</v>
      </c>
      <c r="E37" s="31" t="s">
        <v>276</v>
      </c>
      <c r="F37" s="31"/>
      <c r="G37" s="30">
        <f>AVERAGEIFS(
  Raw_Ticket_Data!N:N,
  Raw_Ticket_Data!H:H, "Closed",
  Raw_Ticket_Data!L:L, "Sprint 6"
)</f>
        <v>14</v>
      </c>
      <c r="H37" s="30"/>
    </row>
  </sheetData>
  <mergeCells count="20">
    <mergeCell ref="E32:F32"/>
    <mergeCell ref="G32:H32"/>
    <mergeCell ref="G33:H33"/>
    <mergeCell ref="G34:H34"/>
    <mergeCell ref="G35:H35"/>
    <mergeCell ref="A2:A6"/>
    <mergeCell ref="A8:A12"/>
    <mergeCell ref="B17:F17"/>
    <mergeCell ref="B23:F23"/>
    <mergeCell ref="B31:C31"/>
    <mergeCell ref="E30:H30"/>
    <mergeCell ref="E31:F31"/>
    <mergeCell ref="G31:H31"/>
    <mergeCell ref="G37:H37"/>
    <mergeCell ref="E33:F33"/>
    <mergeCell ref="E34:F34"/>
    <mergeCell ref="E35:F35"/>
    <mergeCell ref="E36:F36"/>
    <mergeCell ref="E37:F37"/>
    <mergeCell ref="G36:H36"/>
  </mergeCells>
  <phoneticPr fontId="4"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7C6FB-8F90-4100-872D-0F2DE4DE799D}">
  <dimension ref="A1:H34"/>
  <sheetViews>
    <sheetView zoomScale="90" zoomScaleNormal="90" workbookViewId="0">
      <selection activeCell="N8" sqref="N8"/>
    </sheetView>
  </sheetViews>
  <sheetFormatPr defaultRowHeight="15" x14ac:dyDescent="0.25"/>
  <cols>
    <col min="2" max="2" width="9.140625" customWidth="1"/>
    <col min="4" max="4" width="4" customWidth="1"/>
    <col min="8" max="8" width="44.28515625" customWidth="1"/>
  </cols>
  <sheetData>
    <row r="1" spans="1:8" x14ac:dyDescent="0.25">
      <c r="A1" s="48" t="s">
        <v>280</v>
      </c>
      <c r="B1" s="49"/>
      <c r="C1" s="49"/>
      <c r="D1" s="49"/>
      <c r="E1" s="49"/>
      <c r="F1" s="49"/>
      <c r="G1" s="49"/>
      <c r="H1" s="50"/>
    </row>
    <row r="2" spans="1:8" x14ac:dyDescent="0.25">
      <c r="A2" s="51"/>
      <c r="B2" s="52"/>
      <c r="C2" s="52"/>
      <c r="D2" s="52"/>
      <c r="E2" s="52"/>
      <c r="F2" s="52"/>
      <c r="G2" s="52"/>
      <c r="H2" s="53"/>
    </row>
    <row r="3" spans="1:8" x14ac:dyDescent="0.25">
      <c r="A3" s="54" t="s">
        <v>281</v>
      </c>
      <c r="B3" s="55"/>
      <c r="C3" s="55"/>
      <c r="D3" s="55"/>
      <c r="E3" s="55"/>
      <c r="F3" s="55"/>
      <c r="G3" s="55"/>
      <c r="H3" s="56"/>
    </row>
    <row r="4" spans="1:8" ht="15" customHeight="1" x14ac:dyDescent="0.25">
      <c r="A4" s="57" t="s">
        <v>282</v>
      </c>
      <c r="B4" s="43"/>
      <c r="C4" s="43"/>
      <c r="D4" s="43"/>
      <c r="E4" s="43"/>
      <c r="F4" s="43"/>
      <c r="G4" s="43"/>
      <c r="H4" s="58"/>
    </row>
    <row r="5" spans="1:8" x14ac:dyDescent="0.25">
      <c r="A5" s="57"/>
      <c r="B5" s="43"/>
      <c r="C5" s="43"/>
      <c r="D5" s="43"/>
      <c r="E5" s="43"/>
      <c r="F5" s="43"/>
      <c r="G5" s="43"/>
      <c r="H5" s="58"/>
    </row>
    <row r="6" spans="1:8" ht="15.75" thickBot="1" x14ac:dyDescent="0.3">
      <c r="A6" s="59"/>
      <c r="B6" s="60"/>
      <c r="C6" s="60"/>
      <c r="D6" s="60"/>
      <c r="E6" s="60"/>
      <c r="F6" s="60"/>
      <c r="G6" s="60"/>
      <c r="H6" s="61"/>
    </row>
    <row r="7" spans="1:8" ht="30" customHeight="1" thickBot="1" x14ac:dyDescent="0.3">
      <c r="A7" s="62" t="s">
        <v>283</v>
      </c>
      <c r="B7" s="63"/>
      <c r="C7" s="63"/>
      <c r="D7" s="63"/>
      <c r="E7" s="63" t="s">
        <v>284</v>
      </c>
      <c r="F7" s="63"/>
      <c r="G7" s="63"/>
      <c r="H7" s="64"/>
    </row>
    <row r="8" spans="1:8" ht="85.5" customHeight="1" x14ac:dyDescent="0.25">
      <c r="A8" s="65" t="s">
        <v>285</v>
      </c>
      <c r="B8" s="65"/>
      <c r="C8" s="65"/>
      <c r="D8" s="65"/>
      <c r="E8" s="66" t="s">
        <v>289</v>
      </c>
      <c r="F8" s="66"/>
      <c r="G8" s="66"/>
      <c r="H8" s="66"/>
    </row>
    <row r="9" spans="1:8" x14ac:dyDescent="0.25">
      <c r="A9" s="43"/>
      <c r="B9" s="43"/>
      <c r="C9" s="43"/>
      <c r="D9" s="43"/>
      <c r="E9" s="43"/>
      <c r="F9" s="43"/>
      <c r="G9" s="43"/>
      <c r="H9" s="43"/>
    </row>
    <row r="10" spans="1:8" ht="108" customHeight="1" x14ac:dyDescent="0.25">
      <c r="A10" s="45" t="s">
        <v>286</v>
      </c>
      <c r="B10" s="45"/>
      <c r="C10" s="45"/>
      <c r="D10" s="45"/>
      <c r="E10" s="46" t="s">
        <v>290</v>
      </c>
      <c r="F10" s="46"/>
      <c r="G10" s="46"/>
      <c r="H10" s="46"/>
    </row>
    <row r="11" spans="1:8" x14ac:dyDescent="0.25">
      <c r="A11" s="43"/>
      <c r="B11" s="43"/>
      <c r="C11" s="43"/>
      <c r="D11" s="43"/>
      <c r="E11" s="43"/>
      <c r="F11" s="43"/>
      <c r="G11" s="43"/>
      <c r="H11" s="43"/>
    </row>
    <row r="12" spans="1:8" ht="107.25" customHeight="1" x14ac:dyDescent="0.25">
      <c r="A12" s="45" t="s">
        <v>287</v>
      </c>
      <c r="B12" s="45"/>
      <c r="C12" s="45"/>
      <c r="D12" s="45"/>
      <c r="E12" s="46" t="s">
        <v>291</v>
      </c>
      <c r="F12" s="46"/>
      <c r="G12" s="46"/>
      <c r="H12" s="46"/>
    </row>
    <row r="13" spans="1:8" x14ac:dyDescent="0.25">
      <c r="A13" s="43"/>
      <c r="B13" s="43"/>
      <c r="C13" s="43"/>
      <c r="D13" s="43"/>
      <c r="E13" s="43"/>
      <c r="F13" s="43"/>
      <c r="G13" s="43"/>
      <c r="H13" s="43"/>
    </row>
    <row r="14" spans="1:8" ht="93.75" customHeight="1" x14ac:dyDescent="0.25">
      <c r="A14" s="45" t="s">
        <v>288</v>
      </c>
      <c r="B14" s="45"/>
      <c r="C14" s="45"/>
      <c r="D14" s="45"/>
      <c r="E14" s="46" t="s">
        <v>292</v>
      </c>
      <c r="F14" s="46"/>
      <c r="G14" s="46"/>
      <c r="H14" s="46"/>
    </row>
    <row r="15" spans="1:8" x14ac:dyDescent="0.25">
      <c r="A15" s="47"/>
      <c r="B15" s="47"/>
      <c r="C15" s="47"/>
      <c r="D15" s="47"/>
      <c r="E15" s="47"/>
      <c r="F15" s="47"/>
      <c r="G15" s="47"/>
      <c r="H15" s="47"/>
    </row>
    <row r="16" spans="1:8" ht="15" customHeight="1" x14ac:dyDescent="0.25">
      <c r="A16" s="44"/>
      <c r="B16" s="44"/>
      <c r="C16" s="44"/>
      <c r="D16" s="44"/>
      <c r="E16" s="44"/>
      <c r="F16" s="44"/>
      <c r="G16" s="44"/>
      <c r="H16" s="44"/>
    </row>
    <row r="17" spans="1:8" x14ac:dyDescent="0.25">
      <c r="A17" s="44"/>
      <c r="B17" s="44"/>
      <c r="C17" s="44"/>
      <c r="D17" s="44"/>
      <c r="E17" s="44"/>
      <c r="F17" s="44"/>
      <c r="G17" s="44"/>
      <c r="H17" s="44"/>
    </row>
    <row r="18" spans="1:8" x14ac:dyDescent="0.25">
      <c r="A18" s="44"/>
      <c r="B18" s="44"/>
      <c r="C18" s="44"/>
      <c r="D18" s="44"/>
      <c r="E18" s="44"/>
      <c r="F18" s="44"/>
      <c r="G18" s="44"/>
      <c r="H18" s="44"/>
    </row>
    <row r="19" spans="1:8" x14ac:dyDescent="0.25">
      <c r="A19" s="44"/>
      <c r="B19" s="44"/>
      <c r="C19" s="44"/>
      <c r="D19" s="44"/>
      <c r="E19" s="44"/>
      <c r="F19" s="44"/>
      <c r="G19" s="44"/>
      <c r="H19" s="44"/>
    </row>
    <row r="20" spans="1:8" x14ac:dyDescent="0.25">
      <c r="A20" s="44"/>
      <c r="B20" s="44"/>
      <c r="C20" s="44"/>
      <c r="D20" s="44"/>
      <c r="E20" s="44"/>
      <c r="F20" s="44"/>
      <c r="G20" s="44"/>
      <c r="H20" s="44"/>
    </row>
    <row r="21" spans="1:8" x14ac:dyDescent="0.25">
      <c r="A21" s="44"/>
      <c r="B21" s="44"/>
      <c r="C21" s="44"/>
      <c r="D21" s="44"/>
      <c r="E21" s="44"/>
      <c r="F21" s="44"/>
      <c r="G21" s="44"/>
      <c r="H21" s="44"/>
    </row>
    <row r="22" spans="1:8" x14ac:dyDescent="0.25">
      <c r="A22" s="44"/>
      <c r="B22" s="44"/>
      <c r="C22" s="44"/>
      <c r="D22" s="44"/>
      <c r="E22" s="44"/>
      <c r="F22" s="44"/>
      <c r="G22" s="44"/>
      <c r="H22" s="44"/>
    </row>
    <row r="23" spans="1:8" x14ac:dyDescent="0.25">
      <c r="A23" s="44"/>
      <c r="B23" s="44"/>
      <c r="C23" s="44"/>
      <c r="D23" s="44"/>
      <c r="E23" s="44"/>
      <c r="F23" s="44"/>
      <c r="G23" s="44"/>
      <c r="H23" s="44"/>
    </row>
    <row r="24" spans="1:8" x14ac:dyDescent="0.25">
      <c r="A24" s="44"/>
      <c r="B24" s="44"/>
      <c r="C24" s="44"/>
      <c r="D24" s="44"/>
      <c r="E24" s="44"/>
      <c r="F24" s="44"/>
      <c r="G24" s="44"/>
      <c r="H24" s="44"/>
    </row>
    <row r="25" spans="1:8" x14ac:dyDescent="0.25">
      <c r="A25" s="44"/>
      <c r="B25" s="44"/>
      <c r="C25" s="44"/>
      <c r="D25" s="44"/>
      <c r="E25" s="44"/>
      <c r="F25" s="44"/>
      <c r="G25" s="44"/>
      <c r="H25" s="44"/>
    </row>
    <row r="26" spans="1:8" x14ac:dyDescent="0.25">
      <c r="A26" s="44"/>
      <c r="B26" s="44"/>
      <c r="C26" s="44"/>
      <c r="D26" s="44"/>
      <c r="E26" s="44"/>
      <c r="F26" s="44"/>
      <c r="G26" s="44"/>
      <c r="H26" s="44"/>
    </row>
    <row r="27" spans="1:8" x14ac:dyDescent="0.25">
      <c r="A27" s="44"/>
      <c r="B27" s="44"/>
      <c r="C27" s="44"/>
      <c r="D27" s="44"/>
      <c r="E27" s="44"/>
      <c r="F27" s="44"/>
      <c r="G27" s="44"/>
      <c r="H27" s="44"/>
    </row>
    <row r="28" spans="1:8" x14ac:dyDescent="0.25">
      <c r="A28" s="44"/>
      <c r="B28" s="44"/>
      <c r="C28" s="44"/>
      <c r="D28" s="44"/>
      <c r="E28" s="44"/>
      <c r="F28" s="44"/>
      <c r="G28" s="44"/>
      <c r="H28" s="44"/>
    </row>
    <row r="29" spans="1:8" x14ac:dyDescent="0.25">
      <c r="A29" s="44"/>
      <c r="B29" s="44"/>
      <c r="C29" s="44"/>
      <c r="D29" s="44"/>
      <c r="E29" s="44"/>
      <c r="F29" s="44"/>
      <c r="G29" s="44"/>
      <c r="H29" s="44"/>
    </row>
    <row r="30" spans="1:8" x14ac:dyDescent="0.25">
      <c r="A30" s="44"/>
      <c r="B30" s="44"/>
      <c r="C30" s="44"/>
      <c r="D30" s="44"/>
      <c r="E30" s="44"/>
      <c r="F30" s="44"/>
      <c r="G30" s="44"/>
      <c r="H30" s="44"/>
    </row>
    <row r="31" spans="1:8" x14ac:dyDescent="0.25">
      <c r="A31" s="44"/>
      <c r="B31" s="44"/>
      <c r="C31" s="44"/>
      <c r="D31" s="44"/>
      <c r="E31" s="44"/>
      <c r="F31" s="44"/>
      <c r="G31" s="44"/>
      <c r="H31" s="44"/>
    </row>
    <row r="32" spans="1:8" x14ac:dyDescent="0.25">
      <c r="A32" s="44"/>
      <c r="B32" s="44"/>
      <c r="C32" s="44"/>
      <c r="D32" s="44"/>
      <c r="E32" s="44"/>
      <c r="F32" s="44"/>
      <c r="G32" s="44"/>
      <c r="H32" s="44"/>
    </row>
    <row r="33" spans="1:8" x14ac:dyDescent="0.25">
      <c r="A33" s="44"/>
      <c r="B33" s="44"/>
      <c r="C33" s="44"/>
      <c r="D33" s="44"/>
      <c r="E33" s="44"/>
      <c r="F33" s="44"/>
      <c r="G33" s="44"/>
      <c r="H33" s="44"/>
    </row>
    <row r="34" spans="1:8" x14ac:dyDescent="0.25">
      <c r="A34" s="44"/>
      <c r="B34" s="44"/>
      <c r="C34" s="44"/>
      <c r="D34" s="44"/>
      <c r="E34" s="44"/>
      <c r="F34" s="44"/>
      <c r="G34" s="44"/>
      <c r="H34" s="44"/>
    </row>
  </sheetData>
  <mergeCells count="56">
    <mergeCell ref="A12:D12"/>
    <mergeCell ref="E12:H12"/>
    <mergeCell ref="A1:H2"/>
    <mergeCell ref="A3:H3"/>
    <mergeCell ref="A4:H6"/>
    <mergeCell ref="A7:D7"/>
    <mergeCell ref="E7:H7"/>
    <mergeCell ref="A8:D8"/>
    <mergeCell ref="E8:H8"/>
    <mergeCell ref="A10:D10"/>
    <mergeCell ref="E10:H10"/>
    <mergeCell ref="A14:D14"/>
    <mergeCell ref="E14:H14"/>
    <mergeCell ref="A15:D15"/>
    <mergeCell ref="E15:H15"/>
    <mergeCell ref="A16:D16"/>
    <mergeCell ref="E16:H16"/>
    <mergeCell ref="A17:D17"/>
    <mergeCell ref="E17:H17"/>
    <mergeCell ref="A18:D18"/>
    <mergeCell ref="E18:H18"/>
    <mergeCell ref="A19:D19"/>
    <mergeCell ref="E19:H19"/>
    <mergeCell ref="E25:H25"/>
    <mergeCell ref="A20:D20"/>
    <mergeCell ref="E20:H20"/>
    <mergeCell ref="A21:D21"/>
    <mergeCell ref="E21:H21"/>
    <mergeCell ref="A22:D22"/>
    <mergeCell ref="E22:H22"/>
    <mergeCell ref="A33:D33"/>
    <mergeCell ref="E33:H33"/>
    <mergeCell ref="A34:D34"/>
    <mergeCell ref="E34:H34"/>
    <mergeCell ref="A29:D29"/>
    <mergeCell ref="E29:H29"/>
    <mergeCell ref="A30:D30"/>
    <mergeCell ref="E30:H30"/>
    <mergeCell ref="A31:D31"/>
    <mergeCell ref="E31:H31"/>
    <mergeCell ref="A9:H9"/>
    <mergeCell ref="A11:H11"/>
    <mergeCell ref="A13:H13"/>
    <mergeCell ref="A32:D32"/>
    <mergeCell ref="E32:H32"/>
    <mergeCell ref="A26:D26"/>
    <mergeCell ref="E26:H26"/>
    <mergeCell ref="A27:D27"/>
    <mergeCell ref="E27:H27"/>
    <mergeCell ref="A28:D28"/>
    <mergeCell ref="E28:H28"/>
    <mergeCell ref="A23:D23"/>
    <mergeCell ref="E23:H23"/>
    <mergeCell ref="A24:D24"/>
    <mergeCell ref="E24:H24"/>
    <mergeCell ref="A25:D2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BE031-B6D8-4A68-9406-16305F322409}">
  <dimension ref="A1:A24"/>
  <sheetViews>
    <sheetView showGridLines="0" zoomScale="70" zoomScaleNormal="70" workbookViewId="0">
      <selection activeCell="J12" sqref="J12"/>
    </sheetView>
  </sheetViews>
  <sheetFormatPr defaultRowHeight="15" x14ac:dyDescent="0.25"/>
  <cols>
    <col min="1" max="1" width="136.28515625" customWidth="1"/>
  </cols>
  <sheetData>
    <row r="1" spans="1:1" ht="51" customHeight="1" x14ac:dyDescent="0.55000000000000004">
      <c r="A1" s="20" t="s">
        <v>280</v>
      </c>
    </row>
    <row r="2" spans="1:1" ht="23.25" x14ac:dyDescent="0.35">
      <c r="A2" s="21" t="s">
        <v>281</v>
      </c>
    </row>
    <row r="3" spans="1:1" ht="8.25" customHeight="1" x14ac:dyDescent="0.35">
      <c r="A3" s="21"/>
    </row>
    <row r="4" spans="1:1" ht="21" x14ac:dyDescent="0.35">
      <c r="A4" s="22" t="s">
        <v>293</v>
      </c>
    </row>
    <row r="5" spans="1:1" ht="126.75" customHeight="1" x14ac:dyDescent="0.25">
      <c r="A5" s="23" t="s">
        <v>305</v>
      </c>
    </row>
    <row r="6" spans="1:1" ht="21" x14ac:dyDescent="0.35">
      <c r="A6" s="22" t="s">
        <v>294</v>
      </c>
    </row>
    <row r="7" spans="1:1" ht="43.5" customHeight="1" x14ac:dyDescent="0.25">
      <c r="A7" s="23" t="s">
        <v>295</v>
      </c>
    </row>
    <row r="8" spans="1:1" ht="7.5" customHeight="1" x14ac:dyDescent="0.3">
      <c r="A8" s="24"/>
    </row>
    <row r="9" spans="1:1" ht="21" x14ac:dyDescent="0.35">
      <c r="A9" s="22" t="s">
        <v>296</v>
      </c>
    </row>
    <row r="10" spans="1:1" ht="84.75" customHeight="1" x14ac:dyDescent="0.25">
      <c r="A10" s="26" t="s">
        <v>297</v>
      </c>
    </row>
    <row r="11" spans="1:1" ht="21" x14ac:dyDescent="0.35">
      <c r="A11" s="22" t="s">
        <v>298</v>
      </c>
    </row>
    <row r="12" spans="1:1" ht="186.75" customHeight="1" x14ac:dyDescent="0.25">
      <c r="A12" s="26" t="s">
        <v>306</v>
      </c>
    </row>
    <row r="13" spans="1:1" ht="21" x14ac:dyDescent="0.35">
      <c r="A13" s="22" t="s">
        <v>299</v>
      </c>
    </row>
    <row r="14" spans="1:1" ht="37.5" x14ac:dyDescent="0.25">
      <c r="A14" s="26" t="s">
        <v>300</v>
      </c>
    </row>
    <row r="15" spans="1:1" ht="8.25" customHeight="1" x14ac:dyDescent="0.3">
      <c r="A15" s="25"/>
    </row>
    <row r="16" spans="1:1" ht="21" x14ac:dyDescent="0.35">
      <c r="A16" s="22" t="s">
        <v>301</v>
      </c>
    </row>
    <row r="17" spans="1:1" ht="45.75" customHeight="1" x14ac:dyDescent="0.25">
      <c r="A17" s="26" t="s">
        <v>307</v>
      </c>
    </row>
    <row r="18" spans="1:1" ht="7.5" customHeight="1" x14ac:dyDescent="0.3">
      <c r="A18" s="25"/>
    </row>
    <row r="19" spans="1:1" ht="21" x14ac:dyDescent="0.35">
      <c r="A19" s="22" t="s">
        <v>302</v>
      </c>
    </row>
    <row r="20" spans="1:1" ht="56.25" x14ac:dyDescent="0.25">
      <c r="A20" s="26" t="s">
        <v>308</v>
      </c>
    </row>
    <row r="21" spans="1:1" ht="9.75" customHeight="1" x14ac:dyDescent="0.3">
      <c r="A21" s="25"/>
    </row>
    <row r="22" spans="1:1" ht="21" x14ac:dyDescent="0.35">
      <c r="A22" s="22" t="s">
        <v>303</v>
      </c>
    </row>
    <row r="23" spans="1:1" ht="56.25" x14ac:dyDescent="0.25">
      <c r="A23" s="26" t="s">
        <v>304</v>
      </c>
    </row>
    <row r="24" spans="1:1" x14ac:dyDescent="0.25">
      <c r="A24" s="2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Raw_Ticket_Data</vt:lpstr>
      <vt:lpstr>Kanban_Metrics</vt:lpstr>
      <vt:lpstr>Delivery_Dashboard</vt:lpstr>
      <vt:lpstr>Insights &amp; Observations</vt:lpstr>
      <vt:lpstr>README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Erika Sira</cp:lastModifiedBy>
  <cp:revision/>
  <dcterms:created xsi:type="dcterms:W3CDTF">2026-01-28T17:08:14Z</dcterms:created>
  <dcterms:modified xsi:type="dcterms:W3CDTF">2026-01-31T23:09:15Z</dcterms:modified>
  <cp:category/>
  <cp:contentStatus/>
</cp:coreProperties>
</file>